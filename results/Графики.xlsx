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rapost\Desktop\GPA\results\"/>
    </mc:Choice>
  </mc:AlternateContent>
  <xr:revisionPtr revIDLastSave="0" documentId="13_ncr:1_{DF924872-273D-443B-96EF-77971B9C6C67}" xr6:coauthVersionLast="47" xr6:coauthVersionMax="47" xr10:uidLastSave="{00000000-0000-0000-0000-000000000000}"/>
  <bookViews>
    <workbookView xWindow="-108" yWindow="-108" windowWidth="23256" windowHeight="12576" firstSheet="1" activeTab="3" xr2:uid="{04238CF8-FC98-4E84-A903-7F33AEA4C7BA}"/>
  </bookViews>
  <sheets>
    <sheet name="simulation_results_PID_2400" sheetId="2" r:id="rId1"/>
    <sheet name="simulation_results_PSO_2400" sheetId="4" r:id="rId2"/>
    <sheet name="simulation_results_GWO_2400" sheetId="5" r:id="rId3"/>
    <sheet name="Сравнение" sheetId="1" r:id="rId4"/>
  </sheets>
  <definedNames>
    <definedName name="ExternalData_1" localSheetId="2" hidden="1">simulation_results_GWO_2400!$A$1:$V$25</definedName>
    <definedName name="ExternalData_1" localSheetId="0" hidden="1">simulation_results_PID_2400!$A$1:$V$25</definedName>
    <definedName name="ExternalData_1" localSheetId="1" hidden="1">simulation_results_PSO_2400!$A$1:$V$25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2" l="1"/>
  <c r="H27" i="2"/>
  <c r="G28" i="2"/>
  <c r="G2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D9D1AD-B334-420E-B425-2C07725C2F11}" keepAlive="1" name="Запрос — simulation_results_GWO_2400" description="Соединение с запросом &quot;simulation_results_GWO_2400&quot; в книге." type="5" refreshedVersion="7" background="1" saveData="1">
    <dbPr connection="Provider=Microsoft.Mashup.OleDb.1;Data Source=$Workbook$;Location=simulation_results_GWO_2400;Extended Properties=&quot;&quot;" command="SELECT * FROM [simulation_results_GWO_2400]"/>
  </connection>
  <connection id="2" xr16:uid="{68714FDB-D919-4D7A-867C-E4FB8637B448}" keepAlive="1" name="Запрос — simulation_results_PID_2400" description="Соединение с запросом &quot;simulation_results_PID_2400&quot; в книге." type="5" refreshedVersion="7" background="1" saveData="1">
    <dbPr connection="Provider=Microsoft.Mashup.OleDb.1;Data Source=$Workbook$;Location=simulation_results_PID_2400;Extended Properties=&quot;&quot;" command="SELECT * FROM [simulation_results_PID_2400]"/>
  </connection>
  <connection id="3" xr16:uid="{1DB90522-8D6C-4A9C-9F20-C75956DE3248}" keepAlive="1" name="Запрос — simulation_results_PSO_2400" description="Соединение с запросом &quot;simulation_results_PSO_2400&quot; в книге." type="5" refreshedVersion="7" background="1" saveData="1">
    <dbPr connection="Provider=Microsoft.Mashup.OleDb.1;Data Source=$Workbook$;Location=simulation_results_PSO_2400;Extended Properties=&quot;&quot;" command="SELECT * FROM [simulation_results_PSO_2400]"/>
  </connection>
</connections>
</file>

<file path=xl/sharedStrings.xml><?xml version="1.0" encoding="utf-8"?>
<sst xmlns="http://schemas.openxmlformats.org/spreadsheetml/2006/main" count="66" uniqueCount="22">
  <si>
    <t>Hour</t>
  </si>
  <si>
    <t>Pin_MPa</t>
  </si>
  <si>
    <t>Tin_C</t>
  </si>
  <si>
    <t>Target_hour</t>
  </si>
  <si>
    <t>Q_fact</t>
  </si>
  <si>
    <t>Deviation</t>
  </si>
  <si>
    <t>Nst_GPA1</t>
  </si>
  <si>
    <t>Nst_GPA2</t>
  </si>
  <si>
    <t>Nst_GPA3</t>
  </si>
  <si>
    <t>Npol_GPA1</t>
  </si>
  <si>
    <t>Npol_GPA2</t>
  </si>
  <si>
    <t>Npol_GPA3</t>
  </si>
  <si>
    <t>Qprod_GPA1</t>
  </si>
  <si>
    <t>Qprod_GPA2</t>
  </si>
  <si>
    <t>Qprod_GPA3</t>
  </si>
  <si>
    <t>Qprod_total</t>
  </si>
  <si>
    <t>q_term</t>
  </si>
  <si>
    <t>f_term</t>
  </si>
  <si>
    <t>b_term</t>
  </si>
  <si>
    <t>constraint_term</t>
  </si>
  <si>
    <t>total_cost</t>
  </si>
  <si>
    <t>Fuel_total_kg_h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</si>
</sst>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7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Обороты</a:t>
            </a:r>
            <a:r>
              <a:rPr lang="ru-RU" baseline="0"/>
              <a:t> ГПА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Nst_GPA1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simulation_results_PID_2400!$G$2:$G$25</c:f>
              <c:numCache>
                <c:formatCode>General</c:formatCode>
                <c:ptCount val="24"/>
                <c:pt idx="0">
                  <c:v>4741</c:v>
                </c:pt>
                <c:pt idx="1">
                  <c:v>4989</c:v>
                </c:pt>
                <c:pt idx="2">
                  <c:v>5237</c:v>
                </c:pt>
                <c:pt idx="3">
                  <c:v>5485</c:v>
                </c:pt>
                <c:pt idx="4">
                  <c:v>5733</c:v>
                </c:pt>
                <c:pt idx="5">
                  <c:v>5981</c:v>
                </c:pt>
                <c:pt idx="6">
                  <c:v>6195</c:v>
                </c:pt>
                <c:pt idx="7">
                  <c:v>6321</c:v>
                </c:pt>
                <c:pt idx="8">
                  <c:v>6403</c:v>
                </c:pt>
                <c:pt idx="9">
                  <c:v>6459</c:v>
                </c:pt>
                <c:pt idx="10">
                  <c:v>6498</c:v>
                </c:pt>
                <c:pt idx="11">
                  <c:v>6526</c:v>
                </c:pt>
                <c:pt idx="12">
                  <c:v>6547</c:v>
                </c:pt>
                <c:pt idx="13">
                  <c:v>6562</c:v>
                </c:pt>
                <c:pt idx="14">
                  <c:v>6573</c:v>
                </c:pt>
                <c:pt idx="15">
                  <c:v>6582</c:v>
                </c:pt>
                <c:pt idx="16">
                  <c:v>6588</c:v>
                </c:pt>
                <c:pt idx="17">
                  <c:v>6592</c:v>
                </c:pt>
                <c:pt idx="18">
                  <c:v>6592</c:v>
                </c:pt>
                <c:pt idx="19">
                  <c:v>6591</c:v>
                </c:pt>
                <c:pt idx="20">
                  <c:v>6591</c:v>
                </c:pt>
                <c:pt idx="21">
                  <c:v>6591</c:v>
                </c:pt>
                <c:pt idx="22">
                  <c:v>6590</c:v>
                </c:pt>
                <c:pt idx="23">
                  <c:v>6590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4B-420C-B4D1-0013E750C65B}"/>
            </c:ext>
          </c:extLst>
        </c:ser>
        <c:ser>
          <c:idx val="2"/>
          <c:order val="1"/>
          <c:tx>
            <c:v>Nst_GPA2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simulation_results_PID_2400!$H$2:$H$25</c:f>
              <c:numCache>
                <c:formatCode>General</c:formatCode>
                <c:ptCount val="24"/>
                <c:pt idx="0">
                  <c:v>4879</c:v>
                </c:pt>
                <c:pt idx="1">
                  <c:v>5155</c:v>
                </c:pt>
                <c:pt idx="2">
                  <c:v>5431</c:v>
                </c:pt>
                <c:pt idx="3">
                  <c:v>5707</c:v>
                </c:pt>
                <c:pt idx="4">
                  <c:v>5983</c:v>
                </c:pt>
                <c:pt idx="5">
                  <c:v>6259</c:v>
                </c:pt>
                <c:pt idx="6">
                  <c:v>6498</c:v>
                </c:pt>
                <c:pt idx="7">
                  <c:v>6638</c:v>
                </c:pt>
                <c:pt idx="8">
                  <c:v>6729</c:v>
                </c:pt>
                <c:pt idx="9">
                  <c:v>6791</c:v>
                </c:pt>
                <c:pt idx="10">
                  <c:v>6835</c:v>
                </c:pt>
                <c:pt idx="11">
                  <c:v>6866</c:v>
                </c:pt>
                <c:pt idx="12">
                  <c:v>6889</c:v>
                </c:pt>
                <c:pt idx="13">
                  <c:v>6906</c:v>
                </c:pt>
                <c:pt idx="14">
                  <c:v>6919</c:v>
                </c:pt>
                <c:pt idx="15">
                  <c:v>6928</c:v>
                </c:pt>
                <c:pt idx="16">
                  <c:v>6935</c:v>
                </c:pt>
                <c:pt idx="17">
                  <c:v>6940</c:v>
                </c:pt>
                <c:pt idx="18">
                  <c:v>6939</c:v>
                </c:pt>
                <c:pt idx="19">
                  <c:v>6939</c:v>
                </c:pt>
                <c:pt idx="20">
                  <c:v>6938</c:v>
                </c:pt>
                <c:pt idx="21">
                  <c:v>6938</c:v>
                </c:pt>
                <c:pt idx="22">
                  <c:v>6937</c:v>
                </c:pt>
                <c:pt idx="23">
                  <c:v>6937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4B-420C-B4D1-0013E750C65B}"/>
            </c:ext>
          </c:extLst>
        </c:ser>
        <c:ser>
          <c:idx val="3"/>
          <c:order val="2"/>
          <c:tx>
            <c:v>Nst_GPA3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simulation_results_PID_2400!$I$2:$I$25</c:f>
              <c:numCache>
                <c:formatCode>General</c:formatCode>
                <c:ptCount val="24"/>
                <c:pt idx="0">
                  <c:v>4679</c:v>
                </c:pt>
                <c:pt idx="1">
                  <c:v>4955</c:v>
                </c:pt>
                <c:pt idx="2">
                  <c:v>5231</c:v>
                </c:pt>
                <c:pt idx="3">
                  <c:v>5507</c:v>
                </c:pt>
                <c:pt idx="4">
                  <c:v>5783</c:v>
                </c:pt>
                <c:pt idx="5">
                  <c:v>6059</c:v>
                </c:pt>
                <c:pt idx="6">
                  <c:v>6298</c:v>
                </c:pt>
                <c:pt idx="7">
                  <c:v>6438</c:v>
                </c:pt>
                <c:pt idx="8">
                  <c:v>6529</c:v>
                </c:pt>
                <c:pt idx="9">
                  <c:v>6591</c:v>
                </c:pt>
                <c:pt idx="10">
                  <c:v>6635</c:v>
                </c:pt>
                <c:pt idx="11">
                  <c:v>6666</c:v>
                </c:pt>
                <c:pt idx="12">
                  <c:v>6689</c:v>
                </c:pt>
                <c:pt idx="13">
                  <c:v>6706</c:v>
                </c:pt>
                <c:pt idx="14">
                  <c:v>6719</c:v>
                </c:pt>
                <c:pt idx="15">
                  <c:v>6728</c:v>
                </c:pt>
                <c:pt idx="16">
                  <c:v>6735</c:v>
                </c:pt>
                <c:pt idx="17">
                  <c:v>6740</c:v>
                </c:pt>
                <c:pt idx="18">
                  <c:v>6739</c:v>
                </c:pt>
                <c:pt idx="19">
                  <c:v>6739</c:v>
                </c:pt>
                <c:pt idx="20">
                  <c:v>6738</c:v>
                </c:pt>
                <c:pt idx="21">
                  <c:v>6738</c:v>
                </c:pt>
                <c:pt idx="22">
                  <c:v>6737</c:v>
                </c:pt>
                <c:pt idx="23">
                  <c:v>6737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4B-420C-B4D1-0013E750C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846895"/>
        <c:axId val="1648848143"/>
      </c:lineChart>
      <c:catAx>
        <c:axId val="1648846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8848143"/>
        <c:crosses val="autoZero"/>
        <c:auto val="1"/>
        <c:lblAlgn val="ctr"/>
        <c:lblOffset val="100"/>
        <c:noMultiLvlLbl val="0"/>
      </c:catAx>
      <c:valAx>
        <c:axId val="1648848143"/>
        <c:scaling>
          <c:orientation val="minMax"/>
          <c:max val="10000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884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Ошибка</a:t>
            </a:r>
            <a:r>
              <a:rPr lang="ru-RU" baseline="0"/>
              <a:t> регулирования (</a:t>
            </a:r>
            <a:r>
              <a:rPr lang="en-US" baseline="0"/>
              <a:t>PID)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Ошибка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simulation_results_PID_2400!$F$2:$F$25</c:f>
              <c:numCache>
                <c:formatCode>@</c:formatCode>
                <c:ptCount val="24"/>
                <c:pt idx="0">
                  <c:v>-2350.7600000000002</c:v>
                </c:pt>
                <c:pt idx="1">
                  <c:v>-2291.9699999999998</c:v>
                </c:pt>
                <c:pt idx="2">
                  <c:v>-2223.66</c:v>
                </c:pt>
                <c:pt idx="3">
                  <c:v>-2145.83</c:v>
                </c:pt>
                <c:pt idx="4">
                  <c:v>-2058.94</c:v>
                </c:pt>
                <c:pt idx="5">
                  <c:v>-1963.81</c:v>
                </c:pt>
                <c:pt idx="6">
                  <c:v>-1862.43</c:v>
                </c:pt>
                <c:pt idx="7">
                  <c:v>-1757.79</c:v>
                </c:pt>
                <c:pt idx="8">
                  <c:v>-1651.19</c:v>
                </c:pt>
                <c:pt idx="9">
                  <c:v>-1543.33</c:v>
                </c:pt>
                <c:pt idx="10">
                  <c:v>-1434.61</c:v>
                </c:pt>
                <c:pt idx="11">
                  <c:v>-1325.3</c:v>
                </c:pt>
                <c:pt idx="12">
                  <c:v>-1215.57</c:v>
                </c:pt>
                <c:pt idx="13">
                  <c:v>-1105.53</c:v>
                </c:pt>
                <c:pt idx="14">
                  <c:v>-995.26</c:v>
                </c:pt>
                <c:pt idx="15">
                  <c:v>-884.83</c:v>
                </c:pt>
                <c:pt idx="16">
                  <c:v>-774.28</c:v>
                </c:pt>
                <c:pt idx="17">
                  <c:v>-663.64</c:v>
                </c:pt>
                <c:pt idx="18">
                  <c:v>-553.01</c:v>
                </c:pt>
                <c:pt idx="19">
                  <c:v>-442.39</c:v>
                </c:pt>
                <c:pt idx="20">
                  <c:v>-331.78</c:v>
                </c:pt>
                <c:pt idx="21">
                  <c:v>-221.17</c:v>
                </c:pt>
                <c:pt idx="22">
                  <c:v>-110.57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0-4D35-91C2-5522D4872C1F}"/>
            </c:ext>
          </c:extLst>
        </c:ser>
        <c:ser>
          <c:idx val="1"/>
          <c:order val="1"/>
          <c:tx>
            <c:v>Уставка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2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3010-4D35-91C2-5522D4872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upBars>
          <c:downBars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</c:downBars>
        </c:upDownBars>
        <c:smooth val="0"/>
        <c:axId val="1785066175"/>
        <c:axId val="1785058687"/>
      </c:lineChart>
      <c:catAx>
        <c:axId val="178506617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5058687"/>
        <c:crosses val="autoZero"/>
        <c:auto val="1"/>
        <c:lblAlgn val="ctr"/>
        <c:lblOffset val="100"/>
        <c:noMultiLvlLbl val="0"/>
      </c:catAx>
      <c:valAx>
        <c:axId val="1785058687"/>
        <c:scaling>
          <c:orientation val="minMax"/>
          <c:max val="500"/>
          <c:min val="-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506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Значение</a:t>
            </a:r>
            <a:r>
              <a:rPr lang="ru-RU" baseline="0"/>
              <a:t> функционала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v>q_term</c:v>
          </c:tx>
          <c:spPr>
            <a:solidFill>
              <a:schemeClr val="accent2"/>
            </a:solidFill>
            <a:ln w="25400">
              <a:noFill/>
            </a:ln>
            <a:effectLst/>
          </c:spPr>
          <c:val>
            <c:numRef>
              <c:f>simulation_results_PID_2400!$Q$2:$Q$25</c:f>
              <c:numCache>
                <c:formatCode>General</c:formatCode>
                <c:ptCount val="24"/>
                <c:pt idx="0">
                  <c:v>1288341.1499999999</c:v>
                </c:pt>
                <c:pt idx="1">
                  <c:v>942331.24</c:v>
                </c:pt>
                <c:pt idx="2">
                  <c:v>643292.49</c:v>
                </c:pt>
                <c:pt idx="3">
                  <c:v>393805.46</c:v>
                </c:pt>
                <c:pt idx="4">
                  <c:v>208079.24</c:v>
                </c:pt>
                <c:pt idx="5">
                  <c:v>87551.4</c:v>
                </c:pt>
                <c:pt idx="6">
                  <c:v>29822.75</c:v>
                </c:pt>
                <c:pt idx="7">
                  <c:v>12072.02</c:v>
                </c:pt>
                <c:pt idx="8">
                  <c:v>5320.76</c:v>
                </c:pt>
                <c:pt idx="9">
                  <c:v>2459.25</c:v>
                </c:pt>
                <c:pt idx="10">
                  <c:v>1160.6300000000001</c:v>
                </c:pt>
                <c:pt idx="11">
                  <c:v>546.65</c:v>
                </c:pt>
                <c:pt idx="12">
                  <c:v>250.53</c:v>
                </c:pt>
                <c:pt idx="13">
                  <c:v>107.78</c:v>
                </c:pt>
                <c:pt idx="14">
                  <c:v>40.770000000000003</c:v>
                </c:pt>
                <c:pt idx="15">
                  <c:v>11.6</c:v>
                </c:pt>
                <c:pt idx="16">
                  <c:v>1.31</c:v>
                </c:pt>
                <c:pt idx="17">
                  <c:v>0.37</c:v>
                </c:pt>
                <c:pt idx="18">
                  <c:v>0.23</c:v>
                </c:pt>
                <c:pt idx="19">
                  <c:v>0.16</c:v>
                </c:pt>
                <c:pt idx="20">
                  <c:v>0.12</c:v>
                </c:pt>
                <c:pt idx="21">
                  <c:v>0.1</c:v>
                </c:pt>
                <c:pt idx="22">
                  <c:v>0.11</c:v>
                </c:pt>
                <c:pt idx="2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00-4643-AE69-4F5066F6ED56}"/>
            </c:ext>
          </c:extLst>
        </c:ser>
        <c:ser>
          <c:idx val="2"/>
          <c:order val="1"/>
          <c:tx>
            <c:v>f_term</c:v>
          </c:tx>
          <c:spPr>
            <a:solidFill>
              <a:schemeClr val="accent3"/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val>
            <c:numRef>
              <c:f>simulation_results_PID_2400!$R$2:$R$24</c:f>
              <c:numCache>
                <c:formatCode>General</c:formatCode>
                <c:ptCount val="23"/>
                <c:pt idx="0">
                  <c:v>16.66</c:v>
                </c:pt>
                <c:pt idx="1">
                  <c:v>18.29</c:v>
                </c:pt>
                <c:pt idx="2">
                  <c:v>20.23</c:v>
                </c:pt>
                <c:pt idx="3">
                  <c:v>22.48</c:v>
                </c:pt>
                <c:pt idx="4">
                  <c:v>25.15</c:v>
                </c:pt>
                <c:pt idx="5">
                  <c:v>28.39</c:v>
                </c:pt>
                <c:pt idx="6">
                  <c:v>31.79</c:v>
                </c:pt>
                <c:pt idx="7">
                  <c:v>34.119999999999997</c:v>
                </c:pt>
                <c:pt idx="8">
                  <c:v>35.81</c:v>
                </c:pt>
                <c:pt idx="9">
                  <c:v>37.03</c:v>
                </c:pt>
                <c:pt idx="10">
                  <c:v>37.94</c:v>
                </c:pt>
                <c:pt idx="11">
                  <c:v>38.619999999999997</c:v>
                </c:pt>
                <c:pt idx="12">
                  <c:v>39.130000000000003</c:v>
                </c:pt>
                <c:pt idx="13">
                  <c:v>39.51</c:v>
                </c:pt>
                <c:pt idx="14">
                  <c:v>39.79</c:v>
                </c:pt>
                <c:pt idx="15">
                  <c:v>40.01</c:v>
                </c:pt>
                <c:pt idx="16">
                  <c:v>40.159999999999997</c:v>
                </c:pt>
                <c:pt idx="17">
                  <c:v>40.28</c:v>
                </c:pt>
                <c:pt idx="18">
                  <c:v>40.26</c:v>
                </c:pt>
                <c:pt idx="19">
                  <c:v>40.25</c:v>
                </c:pt>
                <c:pt idx="20">
                  <c:v>40.24</c:v>
                </c:pt>
                <c:pt idx="21">
                  <c:v>40.229999999999997</c:v>
                </c:pt>
                <c:pt idx="22">
                  <c:v>40.229999999999997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00-4643-AE69-4F5066F6ED56}"/>
            </c:ext>
          </c:extLst>
        </c:ser>
        <c:ser>
          <c:idx val="3"/>
          <c:order val="2"/>
          <c:tx>
            <c:v>b_term</c:v>
          </c:tx>
          <c:spPr>
            <a:solidFill>
              <a:schemeClr val="accent4"/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val>
            <c:numRef>
              <c:f>simulation_results_PID_2400!$S$2:$S$24</c:f>
              <c:numCache>
                <c:formatCode>General</c:formatCode>
                <c:ptCount val="23"/>
                <c:pt idx="0">
                  <c:v>0.9</c:v>
                </c:pt>
                <c:pt idx="1">
                  <c:v>2.21</c:v>
                </c:pt>
                <c:pt idx="2">
                  <c:v>2.29</c:v>
                </c:pt>
                <c:pt idx="3">
                  <c:v>3.31</c:v>
                </c:pt>
                <c:pt idx="4">
                  <c:v>6.12</c:v>
                </c:pt>
                <c:pt idx="5">
                  <c:v>11.98</c:v>
                </c:pt>
                <c:pt idx="6">
                  <c:v>20.48</c:v>
                </c:pt>
                <c:pt idx="7">
                  <c:v>27.16</c:v>
                </c:pt>
                <c:pt idx="8">
                  <c:v>32.17</c:v>
                </c:pt>
                <c:pt idx="9">
                  <c:v>35.86</c:v>
                </c:pt>
                <c:pt idx="10">
                  <c:v>38.58</c:v>
                </c:pt>
                <c:pt idx="11">
                  <c:v>40.590000000000003</c:v>
                </c:pt>
                <c:pt idx="12">
                  <c:v>42.09</c:v>
                </c:pt>
                <c:pt idx="13">
                  <c:v>43.21</c:v>
                </c:pt>
                <c:pt idx="14">
                  <c:v>44.05</c:v>
                </c:pt>
                <c:pt idx="15">
                  <c:v>44.67</c:v>
                </c:pt>
                <c:pt idx="16">
                  <c:v>45.13</c:v>
                </c:pt>
                <c:pt idx="17">
                  <c:v>45.46</c:v>
                </c:pt>
                <c:pt idx="18">
                  <c:v>45.42</c:v>
                </c:pt>
                <c:pt idx="19">
                  <c:v>45.39</c:v>
                </c:pt>
                <c:pt idx="20">
                  <c:v>45.36</c:v>
                </c:pt>
                <c:pt idx="21">
                  <c:v>45.34</c:v>
                </c:pt>
                <c:pt idx="22">
                  <c:v>45.31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00-4643-AE69-4F5066F6E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3592351"/>
        <c:axId val="773592767"/>
      </c:areaChart>
      <c:catAx>
        <c:axId val="773592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3592767"/>
        <c:crosses val="autoZero"/>
        <c:auto val="1"/>
        <c:lblAlgn val="ctr"/>
        <c:lblOffset val="100"/>
        <c:noMultiLvlLbl val="0"/>
      </c:catAx>
      <c:valAx>
        <c:axId val="77359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##E+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3592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Обороты</a:t>
            </a:r>
            <a:r>
              <a:rPr lang="ru-RU" baseline="0"/>
              <a:t> ГПА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Nst_GPA1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simulation_results_PSO_2400!$G$2:$G$25</c:f>
              <c:numCache>
                <c:formatCode>General</c:formatCode>
                <c:ptCount val="24"/>
                <c:pt idx="0">
                  <c:v>5162</c:v>
                </c:pt>
                <c:pt idx="1">
                  <c:v>5861</c:v>
                </c:pt>
                <c:pt idx="2">
                  <c:v>6164</c:v>
                </c:pt>
                <c:pt idx="3">
                  <c:v>6079</c:v>
                </c:pt>
                <c:pt idx="4">
                  <c:v>6078</c:v>
                </c:pt>
                <c:pt idx="5">
                  <c:v>6080</c:v>
                </c:pt>
                <c:pt idx="6">
                  <c:v>6080</c:v>
                </c:pt>
                <c:pt idx="7">
                  <c:v>6093</c:v>
                </c:pt>
                <c:pt idx="8">
                  <c:v>6075</c:v>
                </c:pt>
                <c:pt idx="9">
                  <c:v>6081</c:v>
                </c:pt>
                <c:pt idx="10">
                  <c:v>6071</c:v>
                </c:pt>
                <c:pt idx="11">
                  <c:v>6055</c:v>
                </c:pt>
                <c:pt idx="12">
                  <c:v>6080</c:v>
                </c:pt>
                <c:pt idx="13">
                  <c:v>6093</c:v>
                </c:pt>
                <c:pt idx="14">
                  <c:v>6076</c:v>
                </c:pt>
                <c:pt idx="15">
                  <c:v>6068</c:v>
                </c:pt>
                <c:pt idx="16">
                  <c:v>6059</c:v>
                </c:pt>
                <c:pt idx="17">
                  <c:v>6078</c:v>
                </c:pt>
                <c:pt idx="18">
                  <c:v>6080</c:v>
                </c:pt>
                <c:pt idx="19">
                  <c:v>6070</c:v>
                </c:pt>
                <c:pt idx="20">
                  <c:v>6081</c:v>
                </c:pt>
                <c:pt idx="21">
                  <c:v>6073</c:v>
                </c:pt>
                <c:pt idx="22">
                  <c:v>6063</c:v>
                </c:pt>
                <c:pt idx="23">
                  <c:v>6083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F3-4E48-9F9D-E905EB4AC23A}"/>
            </c:ext>
          </c:extLst>
        </c:ser>
        <c:ser>
          <c:idx val="2"/>
          <c:order val="1"/>
          <c:tx>
            <c:v>Nst_GPA2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simulation_results_PSO_2400!$H$2:$H$25</c:f>
              <c:numCache>
                <c:formatCode>General</c:formatCode>
                <c:ptCount val="24"/>
                <c:pt idx="0">
                  <c:v>5281</c:v>
                </c:pt>
                <c:pt idx="1">
                  <c:v>5970</c:v>
                </c:pt>
                <c:pt idx="2">
                  <c:v>6546</c:v>
                </c:pt>
                <c:pt idx="3">
                  <c:v>6657</c:v>
                </c:pt>
                <c:pt idx="4">
                  <c:v>6658</c:v>
                </c:pt>
                <c:pt idx="5">
                  <c:v>6664</c:v>
                </c:pt>
                <c:pt idx="6">
                  <c:v>6669</c:v>
                </c:pt>
                <c:pt idx="7">
                  <c:v>6692</c:v>
                </c:pt>
                <c:pt idx="8">
                  <c:v>6676</c:v>
                </c:pt>
                <c:pt idx="9">
                  <c:v>6669</c:v>
                </c:pt>
                <c:pt idx="10">
                  <c:v>6681</c:v>
                </c:pt>
                <c:pt idx="11">
                  <c:v>6667</c:v>
                </c:pt>
                <c:pt idx="12">
                  <c:v>6658</c:v>
                </c:pt>
                <c:pt idx="13">
                  <c:v>6648</c:v>
                </c:pt>
                <c:pt idx="14">
                  <c:v>6667</c:v>
                </c:pt>
                <c:pt idx="15">
                  <c:v>6619</c:v>
                </c:pt>
                <c:pt idx="16">
                  <c:v>6679</c:v>
                </c:pt>
                <c:pt idx="17">
                  <c:v>6673</c:v>
                </c:pt>
                <c:pt idx="18">
                  <c:v>6679</c:v>
                </c:pt>
                <c:pt idx="19">
                  <c:v>6691</c:v>
                </c:pt>
                <c:pt idx="20">
                  <c:v>6661</c:v>
                </c:pt>
                <c:pt idx="21">
                  <c:v>6675</c:v>
                </c:pt>
                <c:pt idx="22">
                  <c:v>6713</c:v>
                </c:pt>
                <c:pt idx="23">
                  <c:v>6660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F3-4E48-9F9D-E905EB4AC23A}"/>
            </c:ext>
          </c:extLst>
        </c:ser>
        <c:ser>
          <c:idx val="3"/>
          <c:order val="2"/>
          <c:tx>
            <c:v>Nst_GPA3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simulation_results_PSO_2400!$I$2:$I$25</c:f>
              <c:numCache>
                <c:formatCode>General</c:formatCode>
                <c:ptCount val="24"/>
                <c:pt idx="0">
                  <c:v>5094</c:v>
                </c:pt>
                <c:pt idx="1">
                  <c:v>5704</c:v>
                </c:pt>
                <c:pt idx="2">
                  <c:v>6400</c:v>
                </c:pt>
                <c:pt idx="3">
                  <c:v>6451</c:v>
                </c:pt>
                <c:pt idx="4">
                  <c:v>6452</c:v>
                </c:pt>
                <c:pt idx="5">
                  <c:v>6442</c:v>
                </c:pt>
                <c:pt idx="6">
                  <c:v>6438</c:v>
                </c:pt>
                <c:pt idx="7">
                  <c:v>6392</c:v>
                </c:pt>
                <c:pt idx="8">
                  <c:v>6441</c:v>
                </c:pt>
                <c:pt idx="9">
                  <c:v>6437</c:v>
                </c:pt>
                <c:pt idx="10">
                  <c:v>6443</c:v>
                </c:pt>
                <c:pt idx="11">
                  <c:v>6485</c:v>
                </c:pt>
                <c:pt idx="12">
                  <c:v>6448</c:v>
                </c:pt>
                <c:pt idx="13">
                  <c:v>6434</c:v>
                </c:pt>
                <c:pt idx="14">
                  <c:v>6447</c:v>
                </c:pt>
                <c:pt idx="15">
                  <c:v>6506</c:v>
                </c:pt>
                <c:pt idx="16">
                  <c:v>6466</c:v>
                </c:pt>
                <c:pt idx="17">
                  <c:v>6442</c:v>
                </c:pt>
                <c:pt idx="18">
                  <c:v>6431</c:v>
                </c:pt>
                <c:pt idx="19">
                  <c:v>6434</c:v>
                </c:pt>
                <c:pt idx="20">
                  <c:v>6447</c:v>
                </c:pt>
                <c:pt idx="21">
                  <c:v>6447</c:v>
                </c:pt>
                <c:pt idx="22">
                  <c:v>6429</c:v>
                </c:pt>
                <c:pt idx="23">
                  <c:v>6441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F3-4E48-9F9D-E905EB4AC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846895"/>
        <c:axId val="1648848143"/>
      </c:lineChart>
      <c:catAx>
        <c:axId val="1648846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8848143"/>
        <c:crosses val="autoZero"/>
        <c:auto val="1"/>
        <c:lblAlgn val="ctr"/>
        <c:lblOffset val="100"/>
        <c:noMultiLvlLbl val="0"/>
      </c:catAx>
      <c:valAx>
        <c:axId val="1648848143"/>
        <c:scaling>
          <c:orientation val="minMax"/>
          <c:max val="10000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884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Ошибка</a:t>
            </a:r>
            <a:r>
              <a:rPr lang="ru-RU" baseline="0"/>
              <a:t> регулирования (</a:t>
            </a:r>
            <a:r>
              <a:rPr lang="en-US" baseline="0"/>
              <a:t>PSO)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Ошибка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simulation_results_PSO_2400!$F$2:$F$25</c:f>
              <c:numCache>
                <c:formatCode>General</c:formatCode>
                <c:ptCount val="24"/>
                <c:pt idx="0">
                  <c:v>-2335.9699999999998</c:v>
                </c:pt>
                <c:pt idx="1">
                  <c:v>-2248.4</c:v>
                </c:pt>
                <c:pt idx="2">
                  <c:v>-2146.31</c:v>
                </c:pt>
                <c:pt idx="3">
                  <c:v>-2044.11</c:v>
                </c:pt>
                <c:pt idx="4">
                  <c:v>-1941.91</c:v>
                </c:pt>
                <c:pt idx="5">
                  <c:v>-1839.7</c:v>
                </c:pt>
                <c:pt idx="6">
                  <c:v>-1737.51</c:v>
                </c:pt>
                <c:pt idx="7">
                  <c:v>-1635.32</c:v>
                </c:pt>
                <c:pt idx="8">
                  <c:v>-1533.11</c:v>
                </c:pt>
                <c:pt idx="9">
                  <c:v>-1430.9</c:v>
                </c:pt>
                <c:pt idx="10">
                  <c:v>-1328.69</c:v>
                </c:pt>
                <c:pt idx="11">
                  <c:v>-1226.49</c:v>
                </c:pt>
                <c:pt idx="12">
                  <c:v>-1124.28</c:v>
                </c:pt>
                <c:pt idx="13">
                  <c:v>-1022.09</c:v>
                </c:pt>
                <c:pt idx="14">
                  <c:v>-919.89</c:v>
                </c:pt>
                <c:pt idx="15">
                  <c:v>-817.71</c:v>
                </c:pt>
                <c:pt idx="16">
                  <c:v>-715.5</c:v>
                </c:pt>
                <c:pt idx="17">
                  <c:v>-613.28</c:v>
                </c:pt>
                <c:pt idx="18">
                  <c:v>-511.07</c:v>
                </c:pt>
                <c:pt idx="19">
                  <c:v>-408.87</c:v>
                </c:pt>
                <c:pt idx="20">
                  <c:v>-306.64999999999998</c:v>
                </c:pt>
                <c:pt idx="21">
                  <c:v>-204.43</c:v>
                </c:pt>
                <c:pt idx="22">
                  <c:v>-102.2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07-4206-B3D1-73FF5256565F}"/>
            </c:ext>
          </c:extLst>
        </c:ser>
        <c:ser>
          <c:idx val="1"/>
          <c:order val="1"/>
          <c:tx>
            <c:v>Уставка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2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4407-4206-B3D1-73FF52565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upBars>
          <c:downBars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</c:downBars>
        </c:upDownBars>
        <c:smooth val="0"/>
        <c:axId val="1785066175"/>
        <c:axId val="1785058687"/>
      </c:lineChart>
      <c:catAx>
        <c:axId val="178506617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5058687"/>
        <c:crosses val="autoZero"/>
        <c:auto val="1"/>
        <c:lblAlgn val="ctr"/>
        <c:lblOffset val="100"/>
        <c:noMultiLvlLbl val="0"/>
      </c:catAx>
      <c:valAx>
        <c:axId val="1785058687"/>
        <c:scaling>
          <c:orientation val="minMax"/>
          <c:max val="500"/>
          <c:min val="-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506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Значение</a:t>
            </a:r>
            <a:r>
              <a:rPr lang="ru-RU" baseline="0"/>
              <a:t> функционала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v>q_term</c:v>
          </c:tx>
          <c:spPr>
            <a:solidFill>
              <a:schemeClr val="accent2"/>
            </a:solidFill>
            <a:ln w="25400">
              <a:noFill/>
            </a:ln>
            <a:effectLst/>
          </c:spPr>
          <c:val>
            <c:numRef>
              <c:f>simulation_results_PSO_2400!$Q$2:$Q$25</c:f>
              <c:numCache>
                <c:formatCode>General</c:formatCode>
                <c:ptCount val="24"/>
                <c:pt idx="0">
                  <c:v>646927.18000000005</c:v>
                </c:pt>
                <c:pt idx="1">
                  <c:v>97901.53</c:v>
                </c:pt>
                <c:pt idx="2">
                  <c:v>6.05</c:v>
                </c:pt>
                <c:pt idx="3">
                  <c:v>0.03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0.15</c:v>
                </c:pt>
                <c:pt idx="8">
                  <c:v>0</c:v>
                </c:pt>
                <c:pt idx="9">
                  <c:v>0.01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0.1</c:v>
                </c:pt>
                <c:pt idx="14">
                  <c:v>0.01</c:v>
                </c:pt>
                <c:pt idx="15">
                  <c:v>0.56999999999999995</c:v>
                </c:pt>
                <c:pt idx="16">
                  <c:v>0.03</c:v>
                </c:pt>
                <c:pt idx="17">
                  <c:v>0.05</c:v>
                </c:pt>
                <c:pt idx="18">
                  <c:v>0</c:v>
                </c:pt>
                <c:pt idx="19">
                  <c:v>0.09</c:v>
                </c:pt>
                <c:pt idx="20">
                  <c:v>0</c:v>
                </c:pt>
                <c:pt idx="21">
                  <c:v>0.01</c:v>
                </c:pt>
                <c:pt idx="22">
                  <c:v>0.05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6-438C-B817-8E2EA2C1C1F7}"/>
            </c:ext>
          </c:extLst>
        </c:ser>
        <c:ser>
          <c:idx val="2"/>
          <c:order val="1"/>
          <c:tx>
            <c:v>f_term</c:v>
          </c:tx>
          <c:spPr>
            <a:solidFill>
              <a:schemeClr val="accent3"/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val>
            <c:numRef>
              <c:f>simulation_results_PSO_2400!$R$2:$R$25</c:f>
              <c:numCache>
                <c:formatCode>General</c:formatCode>
                <c:ptCount val="24"/>
                <c:pt idx="0">
                  <c:v>19.329999999999998</c:v>
                </c:pt>
                <c:pt idx="1">
                  <c:v>25.35</c:v>
                </c:pt>
                <c:pt idx="2">
                  <c:v>32.43</c:v>
                </c:pt>
                <c:pt idx="3">
                  <c:v>32.89</c:v>
                </c:pt>
                <c:pt idx="4">
                  <c:v>32.9</c:v>
                </c:pt>
                <c:pt idx="5">
                  <c:v>32.89</c:v>
                </c:pt>
                <c:pt idx="6">
                  <c:v>32.89</c:v>
                </c:pt>
                <c:pt idx="7">
                  <c:v>32.82</c:v>
                </c:pt>
                <c:pt idx="8">
                  <c:v>32.92</c:v>
                </c:pt>
                <c:pt idx="9">
                  <c:v>32.89</c:v>
                </c:pt>
                <c:pt idx="10">
                  <c:v>32.94</c:v>
                </c:pt>
                <c:pt idx="11">
                  <c:v>33.04</c:v>
                </c:pt>
                <c:pt idx="12">
                  <c:v>32.89</c:v>
                </c:pt>
                <c:pt idx="13">
                  <c:v>32.81</c:v>
                </c:pt>
                <c:pt idx="14">
                  <c:v>32.909999999999997</c:v>
                </c:pt>
                <c:pt idx="15">
                  <c:v>32.97</c:v>
                </c:pt>
                <c:pt idx="16">
                  <c:v>33.01</c:v>
                </c:pt>
                <c:pt idx="17">
                  <c:v>32.92</c:v>
                </c:pt>
                <c:pt idx="18">
                  <c:v>32.9</c:v>
                </c:pt>
                <c:pt idx="19">
                  <c:v>32.950000000000003</c:v>
                </c:pt>
                <c:pt idx="20">
                  <c:v>32.9</c:v>
                </c:pt>
                <c:pt idx="21">
                  <c:v>32.94</c:v>
                </c:pt>
                <c:pt idx="22">
                  <c:v>33.01</c:v>
                </c:pt>
                <c:pt idx="23">
                  <c:v>32.869999999999997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C6-438C-B817-8E2EA2C1C1F7}"/>
            </c:ext>
          </c:extLst>
        </c:ser>
        <c:ser>
          <c:idx val="3"/>
          <c:order val="2"/>
          <c:tx>
            <c:v>b_term</c:v>
          </c:tx>
          <c:spPr>
            <a:solidFill>
              <a:schemeClr val="accent4"/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val>
            <c:numRef>
              <c:f>simulation_results_PSO_2400!$S$2:$S$25</c:f>
              <c:numCache>
                <c:formatCode>General</c:formatCode>
                <c:ptCount val="24"/>
                <c:pt idx="0">
                  <c:v>7.33</c:v>
                </c:pt>
                <c:pt idx="1">
                  <c:v>41</c:v>
                </c:pt>
                <c:pt idx="2">
                  <c:v>9.24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0.05</c:v>
                </c:pt>
                <c:pt idx="6">
                  <c:v>0.04</c:v>
                </c:pt>
                <c:pt idx="7">
                  <c:v>0.96</c:v>
                </c:pt>
                <c:pt idx="8">
                  <c:v>0.01</c:v>
                </c:pt>
                <c:pt idx="9">
                  <c:v>0.06</c:v>
                </c:pt>
                <c:pt idx="10">
                  <c:v>0.02</c:v>
                </c:pt>
                <c:pt idx="11">
                  <c:v>0.55000000000000004</c:v>
                </c:pt>
                <c:pt idx="12">
                  <c:v>7.0000000000000007E-2</c:v>
                </c:pt>
                <c:pt idx="13">
                  <c:v>0.39</c:v>
                </c:pt>
                <c:pt idx="14">
                  <c:v>0.01</c:v>
                </c:pt>
                <c:pt idx="15">
                  <c:v>1.31</c:v>
                </c:pt>
                <c:pt idx="16">
                  <c:v>0.23</c:v>
                </c:pt>
                <c:pt idx="17">
                  <c:v>0.02</c:v>
                </c:pt>
                <c:pt idx="18">
                  <c:v>0.08</c:v>
                </c:pt>
                <c:pt idx="19">
                  <c:v>0.11</c:v>
                </c:pt>
                <c:pt idx="20">
                  <c:v>0.06</c:v>
                </c:pt>
                <c:pt idx="21">
                  <c:v>0</c:v>
                </c:pt>
                <c:pt idx="22">
                  <c:v>0.44</c:v>
                </c:pt>
                <c:pt idx="2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C6-438C-B817-8E2EA2C1C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3592351"/>
        <c:axId val="773592767"/>
      </c:areaChart>
      <c:catAx>
        <c:axId val="773592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3592767"/>
        <c:crosses val="autoZero"/>
        <c:auto val="1"/>
        <c:lblAlgn val="ctr"/>
        <c:lblOffset val="100"/>
        <c:noMultiLvlLbl val="0"/>
      </c:catAx>
      <c:valAx>
        <c:axId val="77359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##E+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3592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Обороты</a:t>
            </a:r>
            <a:r>
              <a:rPr lang="ru-RU" baseline="0"/>
              <a:t> ГПА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Nst_GPA1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simulation_results_GWO_2400!$G$2:$G$25</c:f>
              <c:numCache>
                <c:formatCode>General</c:formatCode>
                <c:ptCount val="24"/>
                <c:pt idx="0">
                  <c:v>5300</c:v>
                </c:pt>
                <c:pt idx="1">
                  <c:v>6050</c:v>
                </c:pt>
                <c:pt idx="2">
                  <c:v>6128</c:v>
                </c:pt>
                <c:pt idx="3">
                  <c:v>6014</c:v>
                </c:pt>
                <c:pt idx="4">
                  <c:v>5932</c:v>
                </c:pt>
                <c:pt idx="5">
                  <c:v>5991</c:v>
                </c:pt>
                <c:pt idx="6">
                  <c:v>5902</c:v>
                </c:pt>
                <c:pt idx="7">
                  <c:v>6020</c:v>
                </c:pt>
                <c:pt idx="8">
                  <c:v>5988</c:v>
                </c:pt>
                <c:pt idx="9">
                  <c:v>6092</c:v>
                </c:pt>
                <c:pt idx="10">
                  <c:v>6040</c:v>
                </c:pt>
                <c:pt idx="11">
                  <c:v>6112</c:v>
                </c:pt>
                <c:pt idx="12">
                  <c:v>5901</c:v>
                </c:pt>
                <c:pt idx="13">
                  <c:v>5939</c:v>
                </c:pt>
                <c:pt idx="14">
                  <c:v>6065</c:v>
                </c:pt>
                <c:pt idx="15">
                  <c:v>6101</c:v>
                </c:pt>
                <c:pt idx="16">
                  <c:v>6005</c:v>
                </c:pt>
                <c:pt idx="17">
                  <c:v>6027</c:v>
                </c:pt>
                <c:pt idx="18">
                  <c:v>6166</c:v>
                </c:pt>
                <c:pt idx="19">
                  <c:v>6071</c:v>
                </c:pt>
                <c:pt idx="20">
                  <c:v>6057</c:v>
                </c:pt>
                <c:pt idx="21">
                  <c:v>6062</c:v>
                </c:pt>
                <c:pt idx="22">
                  <c:v>6091</c:v>
                </c:pt>
                <c:pt idx="23">
                  <c:v>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39-44FA-96BF-38450EC0233E}"/>
            </c:ext>
          </c:extLst>
        </c:ser>
        <c:ser>
          <c:idx val="2"/>
          <c:order val="1"/>
          <c:tx>
            <c:v>Nst_GPA2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simulation_results_GWO_2400!$H$2:$H$25</c:f>
              <c:numCache>
                <c:formatCode>General</c:formatCode>
                <c:ptCount val="24"/>
                <c:pt idx="0">
                  <c:v>5400</c:v>
                </c:pt>
                <c:pt idx="1">
                  <c:v>6200</c:v>
                </c:pt>
                <c:pt idx="2">
                  <c:v>6549</c:v>
                </c:pt>
                <c:pt idx="3">
                  <c:v>6726</c:v>
                </c:pt>
                <c:pt idx="4">
                  <c:v>6616</c:v>
                </c:pt>
                <c:pt idx="5">
                  <c:v>7019</c:v>
                </c:pt>
                <c:pt idx="6">
                  <c:v>6707</c:v>
                </c:pt>
                <c:pt idx="7">
                  <c:v>6525</c:v>
                </c:pt>
                <c:pt idx="8">
                  <c:v>6772</c:v>
                </c:pt>
                <c:pt idx="9">
                  <c:v>6514</c:v>
                </c:pt>
                <c:pt idx="10">
                  <c:v>6497</c:v>
                </c:pt>
                <c:pt idx="11">
                  <c:v>6659</c:v>
                </c:pt>
                <c:pt idx="12">
                  <c:v>6684</c:v>
                </c:pt>
                <c:pt idx="13">
                  <c:v>6965</c:v>
                </c:pt>
                <c:pt idx="14">
                  <c:v>6815</c:v>
                </c:pt>
                <c:pt idx="15">
                  <c:v>6520</c:v>
                </c:pt>
                <c:pt idx="16">
                  <c:v>6641</c:v>
                </c:pt>
                <c:pt idx="17">
                  <c:v>6743</c:v>
                </c:pt>
                <c:pt idx="18">
                  <c:v>6487</c:v>
                </c:pt>
                <c:pt idx="19">
                  <c:v>6673</c:v>
                </c:pt>
                <c:pt idx="20">
                  <c:v>6591</c:v>
                </c:pt>
                <c:pt idx="21">
                  <c:v>6796</c:v>
                </c:pt>
                <c:pt idx="22">
                  <c:v>6687</c:v>
                </c:pt>
                <c:pt idx="23">
                  <c:v>6649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39-44FA-96BF-38450EC0233E}"/>
            </c:ext>
          </c:extLst>
        </c:ser>
        <c:ser>
          <c:idx val="3"/>
          <c:order val="2"/>
          <c:tx>
            <c:v>Nst_GPA3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simulation_results_GWO_2400!$I$2:$I$25</c:f>
              <c:numCache>
                <c:formatCode>General</c:formatCode>
                <c:ptCount val="24"/>
                <c:pt idx="0">
                  <c:v>5200</c:v>
                </c:pt>
                <c:pt idx="1">
                  <c:v>6000</c:v>
                </c:pt>
                <c:pt idx="2">
                  <c:v>6397</c:v>
                </c:pt>
                <c:pt idx="3">
                  <c:v>6418</c:v>
                </c:pt>
                <c:pt idx="4">
                  <c:v>6685</c:v>
                </c:pt>
                <c:pt idx="5">
                  <c:v>6233</c:v>
                </c:pt>
                <c:pt idx="6">
                  <c:v>6657</c:v>
                </c:pt>
                <c:pt idx="7">
                  <c:v>6617</c:v>
                </c:pt>
                <c:pt idx="8">
                  <c:v>6435</c:v>
                </c:pt>
                <c:pt idx="9">
                  <c:v>6481</c:v>
                </c:pt>
                <c:pt idx="10">
                  <c:v>6642</c:v>
                </c:pt>
                <c:pt idx="11">
                  <c:v>6327</c:v>
                </c:pt>
                <c:pt idx="12">
                  <c:v>6670</c:v>
                </c:pt>
                <c:pt idx="13">
                  <c:v>6384</c:v>
                </c:pt>
                <c:pt idx="14">
                  <c:v>6288</c:v>
                </c:pt>
                <c:pt idx="15">
                  <c:v>6491</c:v>
                </c:pt>
                <c:pt idx="16">
                  <c:v>6518</c:v>
                </c:pt>
                <c:pt idx="17">
                  <c:v>6394</c:v>
                </c:pt>
                <c:pt idx="18">
                  <c:v>6400</c:v>
                </c:pt>
                <c:pt idx="19">
                  <c:v>6358</c:v>
                </c:pt>
                <c:pt idx="20">
                  <c:v>6484</c:v>
                </c:pt>
                <c:pt idx="21">
                  <c:v>6275</c:v>
                </c:pt>
                <c:pt idx="22">
                  <c:v>6298</c:v>
                </c:pt>
                <c:pt idx="23">
                  <c:v>6535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39-44FA-96BF-38450EC02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846895"/>
        <c:axId val="1648848143"/>
      </c:lineChart>
      <c:catAx>
        <c:axId val="1648846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8848143"/>
        <c:crosses val="autoZero"/>
        <c:auto val="1"/>
        <c:lblAlgn val="ctr"/>
        <c:lblOffset val="100"/>
        <c:noMultiLvlLbl val="0"/>
      </c:catAx>
      <c:valAx>
        <c:axId val="1648848143"/>
        <c:scaling>
          <c:orientation val="minMax"/>
          <c:max val="10000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884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Ошибка</a:t>
            </a:r>
            <a:r>
              <a:rPr lang="ru-RU" baseline="0"/>
              <a:t> регулирования (</a:t>
            </a:r>
            <a:r>
              <a:rPr lang="en-US" baseline="0"/>
              <a:t>GWO)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Ошибка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simulation_results_GWO_2400!$F$2:$F$25</c:f>
              <c:numCache>
                <c:formatCode>General</c:formatCode>
                <c:ptCount val="24"/>
                <c:pt idx="0">
                  <c:v>-2331.58</c:v>
                </c:pt>
                <c:pt idx="1">
                  <c:v>-2236.67</c:v>
                </c:pt>
                <c:pt idx="2">
                  <c:v>-2134.9899999999998</c:v>
                </c:pt>
                <c:pt idx="3">
                  <c:v>-2033.34</c:v>
                </c:pt>
                <c:pt idx="4">
                  <c:v>-1931.79</c:v>
                </c:pt>
                <c:pt idx="5">
                  <c:v>-1830.2</c:v>
                </c:pt>
                <c:pt idx="6">
                  <c:v>-1728.6</c:v>
                </c:pt>
                <c:pt idx="7">
                  <c:v>-1626.98</c:v>
                </c:pt>
                <c:pt idx="8">
                  <c:v>-1525.27</c:v>
                </c:pt>
                <c:pt idx="9">
                  <c:v>-1423.68</c:v>
                </c:pt>
                <c:pt idx="10">
                  <c:v>-1321.89</c:v>
                </c:pt>
                <c:pt idx="11">
                  <c:v>-1220.1400000000001</c:v>
                </c:pt>
                <c:pt idx="12">
                  <c:v>-1118.6300000000001</c:v>
                </c:pt>
                <c:pt idx="13">
                  <c:v>-1016.83</c:v>
                </c:pt>
                <c:pt idx="14">
                  <c:v>-914.99</c:v>
                </c:pt>
                <c:pt idx="15">
                  <c:v>-813.2</c:v>
                </c:pt>
                <c:pt idx="16">
                  <c:v>-711.56</c:v>
                </c:pt>
                <c:pt idx="17">
                  <c:v>-609.82000000000005</c:v>
                </c:pt>
                <c:pt idx="18">
                  <c:v>-508.12</c:v>
                </c:pt>
                <c:pt idx="19">
                  <c:v>-406.53</c:v>
                </c:pt>
                <c:pt idx="20">
                  <c:v>-304.81</c:v>
                </c:pt>
                <c:pt idx="21">
                  <c:v>-203.19</c:v>
                </c:pt>
                <c:pt idx="22">
                  <c:v>-101.72</c:v>
                </c:pt>
                <c:pt idx="23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69-47A9-904B-9155652A3DCC}"/>
            </c:ext>
          </c:extLst>
        </c:ser>
        <c:ser>
          <c:idx val="1"/>
          <c:order val="1"/>
          <c:tx>
            <c:v>Уставка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2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8069-47A9-904B-9155652A3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upBars>
          <c:downBars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</c:downBars>
        </c:upDownBars>
        <c:smooth val="0"/>
        <c:axId val="1785066175"/>
        <c:axId val="1785058687"/>
      </c:lineChart>
      <c:catAx>
        <c:axId val="178506617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5058687"/>
        <c:crosses val="autoZero"/>
        <c:auto val="1"/>
        <c:lblAlgn val="ctr"/>
        <c:lblOffset val="100"/>
        <c:noMultiLvlLbl val="0"/>
      </c:catAx>
      <c:valAx>
        <c:axId val="1785058687"/>
        <c:scaling>
          <c:orientation val="minMax"/>
          <c:max val="500"/>
          <c:min val="-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506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Значение</a:t>
            </a:r>
            <a:r>
              <a:rPr lang="ru-RU" baseline="0"/>
              <a:t> функционала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v>q_term</c:v>
          </c:tx>
          <c:spPr>
            <a:solidFill>
              <a:schemeClr val="accent2"/>
            </a:solidFill>
            <a:ln w="25400">
              <a:noFill/>
            </a:ln>
            <a:effectLst/>
          </c:spPr>
          <c:val>
            <c:numRef>
              <c:f>simulation_results_GWO_2400!$Q$2:$Q$25</c:f>
              <c:numCache>
                <c:formatCode>General</c:formatCode>
                <c:ptCount val="24"/>
                <c:pt idx="0">
                  <c:v>498631.44</c:v>
                </c:pt>
                <c:pt idx="1">
                  <c:v>20895.47</c:v>
                </c:pt>
                <c:pt idx="2">
                  <c:v>0.14000000000000001</c:v>
                </c:pt>
                <c:pt idx="3">
                  <c:v>0.13</c:v>
                </c:pt>
                <c:pt idx="4">
                  <c:v>7.6</c:v>
                </c:pt>
                <c:pt idx="5">
                  <c:v>3.43</c:v>
                </c:pt>
                <c:pt idx="6">
                  <c:v>2.74</c:v>
                </c:pt>
                <c:pt idx="7">
                  <c:v>1.9</c:v>
                </c:pt>
                <c:pt idx="8">
                  <c:v>0.27</c:v>
                </c:pt>
                <c:pt idx="9">
                  <c:v>4.6100000000000003</c:v>
                </c:pt>
                <c:pt idx="10">
                  <c:v>5.36</c:v>
                </c:pt>
                <c:pt idx="11">
                  <c:v>1.83</c:v>
                </c:pt>
                <c:pt idx="12">
                  <c:v>13.13</c:v>
                </c:pt>
                <c:pt idx="13">
                  <c:v>5.01</c:v>
                </c:pt>
                <c:pt idx="14">
                  <c:v>12.66</c:v>
                </c:pt>
                <c:pt idx="15">
                  <c:v>7.22</c:v>
                </c:pt>
                <c:pt idx="16">
                  <c:v>0.01</c:v>
                </c:pt>
                <c:pt idx="17">
                  <c:v>4.08</c:v>
                </c:pt>
                <c:pt idx="18">
                  <c:v>2.0099999999999998</c:v>
                </c:pt>
                <c:pt idx="19">
                  <c:v>0.62</c:v>
                </c:pt>
                <c:pt idx="20">
                  <c:v>4.07</c:v>
                </c:pt>
                <c:pt idx="21">
                  <c:v>7.0000000000000007E-2</c:v>
                </c:pt>
                <c:pt idx="22">
                  <c:v>7.67</c:v>
                </c:pt>
                <c:pt idx="23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7-4F3B-8AF7-2995393A9F2E}"/>
            </c:ext>
          </c:extLst>
        </c:ser>
        <c:ser>
          <c:idx val="2"/>
          <c:order val="1"/>
          <c:tx>
            <c:v>f_term</c:v>
          </c:tx>
          <c:spPr>
            <a:solidFill>
              <a:schemeClr val="accent3"/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val>
            <c:numRef>
              <c:f>simulation_results_GWO_2400!$R$2:$R$25</c:f>
              <c:numCache>
                <c:formatCode>General</c:formatCode>
                <c:ptCount val="24"/>
                <c:pt idx="0">
                  <c:v>20.25</c:v>
                </c:pt>
                <c:pt idx="1">
                  <c:v>28.22</c:v>
                </c:pt>
                <c:pt idx="2">
                  <c:v>32.229999999999997</c:v>
                </c:pt>
                <c:pt idx="3">
                  <c:v>32.78</c:v>
                </c:pt>
                <c:pt idx="4">
                  <c:v>33.53</c:v>
                </c:pt>
                <c:pt idx="5">
                  <c:v>33.72</c:v>
                </c:pt>
                <c:pt idx="6">
                  <c:v>33.72</c:v>
                </c:pt>
                <c:pt idx="7">
                  <c:v>32.96</c:v>
                </c:pt>
                <c:pt idx="8">
                  <c:v>33.04</c:v>
                </c:pt>
                <c:pt idx="9">
                  <c:v>32.369999999999997</c:v>
                </c:pt>
                <c:pt idx="10">
                  <c:v>33.1</c:v>
                </c:pt>
                <c:pt idx="11">
                  <c:v>32.36</c:v>
                </c:pt>
                <c:pt idx="12">
                  <c:v>33.68</c:v>
                </c:pt>
                <c:pt idx="13">
                  <c:v>33.86</c:v>
                </c:pt>
                <c:pt idx="14">
                  <c:v>32.869999999999997</c:v>
                </c:pt>
                <c:pt idx="15">
                  <c:v>32.51</c:v>
                </c:pt>
                <c:pt idx="16">
                  <c:v>32.85</c:v>
                </c:pt>
                <c:pt idx="17">
                  <c:v>32.81</c:v>
                </c:pt>
                <c:pt idx="18">
                  <c:v>32.14</c:v>
                </c:pt>
                <c:pt idx="19">
                  <c:v>32.4</c:v>
                </c:pt>
                <c:pt idx="20">
                  <c:v>32.61</c:v>
                </c:pt>
                <c:pt idx="21">
                  <c:v>32.67</c:v>
                </c:pt>
                <c:pt idx="22">
                  <c:v>32.26</c:v>
                </c:pt>
                <c:pt idx="23">
                  <c:v>32.979999999999997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17-4F3B-8AF7-2995393A9F2E}"/>
            </c:ext>
          </c:extLst>
        </c:ser>
        <c:ser>
          <c:idx val="3"/>
          <c:order val="2"/>
          <c:tx>
            <c:v>b_term</c:v>
          </c:tx>
          <c:spPr>
            <a:solidFill>
              <a:schemeClr val="accent4"/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val>
            <c:numRef>
              <c:f>simulation_results_GWO_2400!$S$2:$S$25</c:f>
              <c:numCache>
                <c:formatCode>General</c:formatCode>
                <c:ptCount val="24"/>
                <c:pt idx="0">
                  <c:v>13.42</c:v>
                </c:pt>
                <c:pt idx="1">
                  <c:v>34.76</c:v>
                </c:pt>
                <c:pt idx="2">
                  <c:v>5.34</c:v>
                </c:pt>
                <c:pt idx="3">
                  <c:v>2.61</c:v>
                </c:pt>
                <c:pt idx="4">
                  <c:v>23.86</c:v>
                </c:pt>
                <c:pt idx="5">
                  <c:v>33.049999999999997</c:v>
                </c:pt>
                <c:pt idx="6">
                  <c:v>28.57</c:v>
                </c:pt>
                <c:pt idx="7">
                  <c:v>11.46</c:v>
                </c:pt>
                <c:pt idx="8">
                  <c:v>6.6</c:v>
                </c:pt>
                <c:pt idx="9">
                  <c:v>5.46</c:v>
                </c:pt>
                <c:pt idx="10">
                  <c:v>14.26</c:v>
                </c:pt>
                <c:pt idx="11">
                  <c:v>3.97</c:v>
                </c:pt>
                <c:pt idx="12">
                  <c:v>29.41</c:v>
                </c:pt>
                <c:pt idx="13">
                  <c:v>26.61</c:v>
                </c:pt>
                <c:pt idx="14">
                  <c:v>9.3800000000000008</c:v>
                </c:pt>
                <c:pt idx="15">
                  <c:v>5.78</c:v>
                </c:pt>
                <c:pt idx="16">
                  <c:v>4.0199999999999996</c:v>
                </c:pt>
                <c:pt idx="17">
                  <c:v>2.63</c:v>
                </c:pt>
                <c:pt idx="18">
                  <c:v>13.45</c:v>
                </c:pt>
                <c:pt idx="19">
                  <c:v>1.1200000000000001</c:v>
                </c:pt>
                <c:pt idx="20">
                  <c:v>1.49</c:v>
                </c:pt>
                <c:pt idx="21">
                  <c:v>9.33</c:v>
                </c:pt>
                <c:pt idx="22">
                  <c:v>4.58</c:v>
                </c:pt>
                <c:pt idx="23">
                  <c:v>5.17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17-4F3B-8AF7-2995393A9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3592351"/>
        <c:axId val="773592767"/>
      </c:areaChart>
      <c:catAx>
        <c:axId val="773592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3592767"/>
        <c:crosses val="autoZero"/>
        <c:auto val="1"/>
        <c:lblAlgn val="ctr"/>
        <c:lblOffset val="100"/>
        <c:noMultiLvlLbl val="0"/>
      </c:catAx>
      <c:valAx>
        <c:axId val="77359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##E+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3592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+mn-ea"/>
                <a:cs typeface="+mn-cs"/>
              </a:defRPr>
            </a:pPr>
            <a:r>
              <a:rPr lang="ru-RU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Обороты </a:t>
            </a: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GPA1</a:t>
            </a:r>
            <a:endParaRPr lang="ru-RU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8025371828521428E-2"/>
          <c:y val="0.12728018372703409"/>
          <c:w val="0.75769280822442941"/>
          <c:h val="0.73982283464566923"/>
        </c:manualLayout>
      </c:layout>
      <c:lineChart>
        <c:grouping val="standard"/>
        <c:varyColors val="0"/>
        <c:ser>
          <c:idx val="0"/>
          <c:order val="0"/>
          <c:tx>
            <c:v>PID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Сравнение!$A$1:$A$24</c:f>
              <c:numCache>
                <c:formatCode>0.00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simulation_results_PID_2400!$G$2:$G$25</c:f>
              <c:numCache>
                <c:formatCode>General</c:formatCode>
                <c:ptCount val="24"/>
                <c:pt idx="0">
                  <c:v>4741</c:v>
                </c:pt>
                <c:pt idx="1">
                  <c:v>4989</c:v>
                </c:pt>
                <c:pt idx="2">
                  <c:v>5237</c:v>
                </c:pt>
                <c:pt idx="3">
                  <c:v>5485</c:v>
                </c:pt>
                <c:pt idx="4">
                  <c:v>5733</c:v>
                </c:pt>
                <c:pt idx="5">
                  <c:v>5981</c:v>
                </c:pt>
                <c:pt idx="6">
                  <c:v>6195</c:v>
                </c:pt>
                <c:pt idx="7">
                  <c:v>6321</c:v>
                </c:pt>
                <c:pt idx="8">
                  <c:v>6403</c:v>
                </c:pt>
                <c:pt idx="9">
                  <c:v>6459</c:v>
                </c:pt>
                <c:pt idx="10">
                  <c:v>6498</c:v>
                </c:pt>
                <c:pt idx="11">
                  <c:v>6526</c:v>
                </c:pt>
                <c:pt idx="12">
                  <c:v>6547</c:v>
                </c:pt>
                <c:pt idx="13">
                  <c:v>6562</c:v>
                </c:pt>
                <c:pt idx="14">
                  <c:v>6573</c:v>
                </c:pt>
                <c:pt idx="15">
                  <c:v>6582</c:v>
                </c:pt>
                <c:pt idx="16">
                  <c:v>6588</c:v>
                </c:pt>
                <c:pt idx="17">
                  <c:v>6592</c:v>
                </c:pt>
                <c:pt idx="18">
                  <c:v>6592</c:v>
                </c:pt>
                <c:pt idx="19">
                  <c:v>6591</c:v>
                </c:pt>
                <c:pt idx="20">
                  <c:v>6591</c:v>
                </c:pt>
                <c:pt idx="21">
                  <c:v>6591</c:v>
                </c:pt>
                <c:pt idx="22">
                  <c:v>6590</c:v>
                </c:pt>
                <c:pt idx="23">
                  <c:v>6590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3-4552-BF08-EA96B4A5D320}"/>
            </c:ext>
          </c:extLst>
        </c:ser>
        <c:ser>
          <c:idx val="1"/>
          <c:order val="1"/>
          <c:tx>
            <c:v>PSO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Сравнение!$A$1:$A$24</c:f>
              <c:numCache>
                <c:formatCode>0.00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simulation_results_PSO_2400!$G$2:$G$25</c:f>
              <c:numCache>
                <c:formatCode>General</c:formatCode>
                <c:ptCount val="24"/>
                <c:pt idx="0">
                  <c:v>5162</c:v>
                </c:pt>
                <c:pt idx="1">
                  <c:v>5861</c:v>
                </c:pt>
                <c:pt idx="2">
                  <c:v>6164</c:v>
                </c:pt>
                <c:pt idx="3">
                  <c:v>6079</c:v>
                </c:pt>
                <c:pt idx="4">
                  <c:v>6078</c:v>
                </c:pt>
                <c:pt idx="5">
                  <c:v>6080</c:v>
                </c:pt>
                <c:pt idx="6">
                  <c:v>6080</c:v>
                </c:pt>
                <c:pt idx="7">
                  <c:v>6093</c:v>
                </c:pt>
                <c:pt idx="8">
                  <c:v>6075</c:v>
                </c:pt>
                <c:pt idx="9">
                  <c:v>6081</c:v>
                </c:pt>
                <c:pt idx="10">
                  <c:v>6071</c:v>
                </c:pt>
                <c:pt idx="11">
                  <c:v>6055</c:v>
                </c:pt>
                <c:pt idx="12">
                  <c:v>6080</c:v>
                </c:pt>
                <c:pt idx="13">
                  <c:v>6093</c:v>
                </c:pt>
                <c:pt idx="14">
                  <c:v>6076</c:v>
                </c:pt>
                <c:pt idx="15">
                  <c:v>6068</c:v>
                </c:pt>
                <c:pt idx="16">
                  <c:v>6059</c:v>
                </c:pt>
                <c:pt idx="17">
                  <c:v>6078</c:v>
                </c:pt>
                <c:pt idx="18">
                  <c:v>6080</c:v>
                </c:pt>
                <c:pt idx="19">
                  <c:v>6070</c:v>
                </c:pt>
                <c:pt idx="20">
                  <c:v>6081</c:v>
                </c:pt>
                <c:pt idx="21">
                  <c:v>6073</c:v>
                </c:pt>
                <c:pt idx="22">
                  <c:v>6063</c:v>
                </c:pt>
                <c:pt idx="23">
                  <c:v>6083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6F3-4552-BF08-EA96B4A5D320}"/>
            </c:ext>
          </c:extLst>
        </c:ser>
        <c:ser>
          <c:idx val="2"/>
          <c:order val="2"/>
          <c:tx>
            <c:v>GWO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Сравнение!$A$1:$A$24</c:f>
              <c:numCache>
                <c:formatCode>0.00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simulation_results_GWO_2400!$H$2:$H$25</c:f>
              <c:numCache>
                <c:formatCode>General</c:formatCode>
                <c:ptCount val="24"/>
                <c:pt idx="0">
                  <c:v>5400</c:v>
                </c:pt>
                <c:pt idx="1">
                  <c:v>6200</c:v>
                </c:pt>
                <c:pt idx="2">
                  <c:v>6549</c:v>
                </c:pt>
                <c:pt idx="3">
                  <c:v>6726</c:v>
                </c:pt>
                <c:pt idx="4">
                  <c:v>6616</c:v>
                </c:pt>
                <c:pt idx="5">
                  <c:v>7019</c:v>
                </c:pt>
                <c:pt idx="6">
                  <c:v>6707</c:v>
                </c:pt>
                <c:pt idx="7">
                  <c:v>6525</c:v>
                </c:pt>
                <c:pt idx="8">
                  <c:v>6772</c:v>
                </c:pt>
                <c:pt idx="9">
                  <c:v>6514</c:v>
                </c:pt>
                <c:pt idx="10">
                  <c:v>6497</c:v>
                </c:pt>
                <c:pt idx="11">
                  <c:v>6659</c:v>
                </c:pt>
                <c:pt idx="12">
                  <c:v>6684</c:v>
                </c:pt>
                <c:pt idx="13">
                  <c:v>6965</c:v>
                </c:pt>
                <c:pt idx="14">
                  <c:v>6815</c:v>
                </c:pt>
                <c:pt idx="15">
                  <c:v>6520</c:v>
                </c:pt>
                <c:pt idx="16">
                  <c:v>6641</c:v>
                </c:pt>
                <c:pt idx="17">
                  <c:v>6743</c:v>
                </c:pt>
                <c:pt idx="18">
                  <c:v>6487</c:v>
                </c:pt>
                <c:pt idx="19">
                  <c:v>6673</c:v>
                </c:pt>
                <c:pt idx="20">
                  <c:v>6591</c:v>
                </c:pt>
                <c:pt idx="21">
                  <c:v>6796</c:v>
                </c:pt>
                <c:pt idx="22">
                  <c:v>6687</c:v>
                </c:pt>
                <c:pt idx="23">
                  <c:v>6649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6F3-4552-BF08-EA96B4A5D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427903"/>
        <c:axId val="853427071"/>
      </c:lineChart>
      <c:catAx>
        <c:axId val="853427903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+mn-ea"/>
                <a:cs typeface="+mn-cs"/>
              </a:defRPr>
            </a:pPr>
            <a:endParaRPr lang="ru-RU"/>
          </a:p>
        </c:txPr>
        <c:crossAx val="853427071"/>
        <c:crosses val="autoZero"/>
        <c:auto val="1"/>
        <c:lblAlgn val="ctr"/>
        <c:lblOffset val="100"/>
        <c:tickLblSkip val="4"/>
        <c:noMultiLvlLbl val="0"/>
      </c:catAx>
      <c:valAx>
        <c:axId val="853427071"/>
        <c:scaling>
          <c:orientation val="minMax"/>
          <c:min val="45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lg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+mn-ea"/>
                <a:cs typeface="+mn-cs"/>
              </a:defRPr>
            </a:pPr>
            <a:endParaRPr lang="ru-RU"/>
          </a:p>
        </c:txPr>
        <c:crossAx val="85342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146281011556369"/>
          <c:y val="0.44424262489025912"/>
          <c:w val="0.12355751859582685"/>
          <c:h val="0.229988432401236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Tahoma" panose="020B060403050404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+mn-ea"/>
                <a:cs typeface="+mn-cs"/>
              </a:defRPr>
            </a:pPr>
            <a:r>
              <a:rPr lang="ru-RU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Обороты </a:t>
            </a: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GPA</a:t>
            </a:r>
            <a:r>
              <a:rPr lang="ru-RU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0627162508729417E-2"/>
          <c:y val="0.1318112330373597"/>
          <c:w val="0.74143167777238206"/>
          <c:h val="0.73529171553023953"/>
        </c:manualLayout>
      </c:layout>
      <c:lineChart>
        <c:grouping val="standard"/>
        <c:varyColors val="0"/>
        <c:ser>
          <c:idx val="0"/>
          <c:order val="0"/>
          <c:tx>
            <c:v>PID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Сравнение!$A$1:$A$24</c:f>
              <c:numCache>
                <c:formatCode>0.00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simulation_results_PID_2400!$H$2:$H$25</c:f>
              <c:numCache>
                <c:formatCode>General</c:formatCode>
                <c:ptCount val="24"/>
                <c:pt idx="0">
                  <c:v>4879</c:v>
                </c:pt>
                <c:pt idx="1">
                  <c:v>5155</c:v>
                </c:pt>
                <c:pt idx="2">
                  <c:v>5431</c:v>
                </c:pt>
                <c:pt idx="3">
                  <c:v>5707</c:v>
                </c:pt>
                <c:pt idx="4">
                  <c:v>5983</c:v>
                </c:pt>
                <c:pt idx="5">
                  <c:v>6259</c:v>
                </c:pt>
                <c:pt idx="6">
                  <c:v>6498</c:v>
                </c:pt>
                <c:pt idx="7">
                  <c:v>6638</c:v>
                </c:pt>
                <c:pt idx="8">
                  <c:v>6729</c:v>
                </c:pt>
                <c:pt idx="9">
                  <c:v>6791</c:v>
                </c:pt>
                <c:pt idx="10">
                  <c:v>6835</c:v>
                </c:pt>
                <c:pt idx="11">
                  <c:v>6866</c:v>
                </c:pt>
                <c:pt idx="12">
                  <c:v>6889</c:v>
                </c:pt>
                <c:pt idx="13">
                  <c:v>6906</c:v>
                </c:pt>
                <c:pt idx="14">
                  <c:v>6919</c:v>
                </c:pt>
                <c:pt idx="15">
                  <c:v>6928</c:v>
                </c:pt>
                <c:pt idx="16">
                  <c:v>6935</c:v>
                </c:pt>
                <c:pt idx="17">
                  <c:v>6940</c:v>
                </c:pt>
                <c:pt idx="18">
                  <c:v>6939</c:v>
                </c:pt>
                <c:pt idx="19">
                  <c:v>6939</c:v>
                </c:pt>
                <c:pt idx="20">
                  <c:v>6938</c:v>
                </c:pt>
                <c:pt idx="21">
                  <c:v>6938</c:v>
                </c:pt>
                <c:pt idx="22">
                  <c:v>6937</c:v>
                </c:pt>
                <c:pt idx="23">
                  <c:v>6937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60-41ED-AA44-CB2625A9F692}"/>
            </c:ext>
          </c:extLst>
        </c:ser>
        <c:ser>
          <c:idx val="1"/>
          <c:order val="1"/>
          <c:tx>
            <c:v>PSO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Сравнение!$A$1:$A$24</c:f>
              <c:numCache>
                <c:formatCode>0.00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simulation_results_PSO_2400!$H$2:$H$25</c:f>
              <c:numCache>
                <c:formatCode>General</c:formatCode>
                <c:ptCount val="24"/>
                <c:pt idx="0">
                  <c:v>5281</c:v>
                </c:pt>
                <c:pt idx="1">
                  <c:v>5970</c:v>
                </c:pt>
                <c:pt idx="2">
                  <c:v>6546</c:v>
                </c:pt>
                <c:pt idx="3">
                  <c:v>6657</c:v>
                </c:pt>
                <c:pt idx="4">
                  <c:v>6658</c:v>
                </c:pt>
                <c:pt idx="5">
                  <c:v>6664</c:v>
                </c:pt>
                <c:pt idx="6">
                  <c:v>6669</c:v>
                </c:pt>
                <c:pt idx="7">
                  <c:v>6692</c:v>
                </c:pt>
                <c:pt idx="8">
                  <c:v>6676</c:v>
                </c:pt>
                <c:pt idx="9">
                  <c:v>6669</c:v>
                </c:pt>
                <c:pt idx="10">
                  <c:v>6681</c:v>
                </c:pt>
                <c:pt idx="11">
                  <c:v>6667</c:v>
                </c:pt>
                <c:pt idx="12">
                  <c:v>6658</c:v>
                </c:pt>
                <c:pt idx="13">
                  <c:v>6648</c:v>
                </c:pt>
                <c:pt idx="14">
                  <c:v>6667</c:v>
                </c:pt>
                <c:pt idx="15">
                  <c:v>6619</c:v>
                </c:pt>
                <c:pt idx="16">
                  <c:v>6679</c:v>
                </c:pt>
                <c:pt idx="17">
                  <c:v>6673</c:v>
                </c:pt>
                <c:pt idx="18">
                  <c:v>6679</c:v>
                </c:pt>
                <c:pt idx="19">
                  <c:v>6691</c:v>
                </c:pt>
                <c:pt idx="20">
                  <c:v>6661</c:v>
                </c:pt>
                <c:pt idx="21">
                  <c:v>6675</c:v>
                </c:pt>
                <c:pt idx="22">
                  <c:v>6713</c:v>
                </c:pt>
                <c:pt idx="23">
                  <c:v>6660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60-41ED-AA44-CB2625A9F692}"/>
            </c:ext>
          </c:extLst>
        </c:ser>
        <c:ser>
          <c:idx val="2"/>
          <c:order val="2"/>
          <c:tx>
            <c:v>GWO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Сравнение!$A$1:$A$24</c:f>
              <c:numCache>
                <c:formatCode>0.00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simulation_results_GWO_2400!$H$2:$H$25</c:f>
              <c:numCache>
                <c:formatCode>General</c:formatCode>
                <c:ptCount val="24"/>
                <c:pt idx="0">
                  <c:v>5400</c:v>
                </c:pt>
                <c:pt idx="1">
                  <c:v>6200</c:v>
                </c:pt>
                <c:pt idx="2">
                  <c:v>6549</c:v>
                </c:pt>
                <c:pt idx="3">
                  <c:v>6726</c:v>
                </c:pt>
                <c:pt idx="4">
                  <c:v>6616</c:v>
                </c:pt>
                <c:pt idx="5">
                  <c:v>7019</c:v>
                </c:pt>
                <c:pt idx="6">
                  <c:v>6707</c:v>
                </c:pt>
                <c:pt idx="7">
                  <c:v>6525</c:v>
                </c:pt>
                <c:pt idx="8">
                  <c:v>6772</c:v>
                </c:pt>
                <c:pt idx="9">
                  <c:v>6514</c:v>
                </c:pt>
                <c:pt idx="10">
                  <c:v>6497</c:v>
                </c:pt>
                <c:pt idx="11">
                  <c:v>6659</c:v>
                </c:pt>
                <c:pt idx="12">
                  <c:v>6684</c:v>
                </c:pt>
                <c:pt idx="13">
                  <c:v>6965</c:v>
                </c:pt>
                <c:pt idx="14">
                  <c:v>6815</c:v>
                </c:pt>
                <c:pt idx="15">
                  <c:v>6520</c:v>
                </c:pt>
                <c:pt idx="16">
                  <c:v>6641</c:v>
                </c:pt>
                <c:pt idx="17">
                  <c:v>6743</c:v>
                </c:pt>
                <c:pt idx="18">
                  <c:v>6487</c:v>
                </c:pt>
                <c:pt idx="19">
                  <c:v>6673</c:v>
                </c:pt>
                <c:pt idx="20">
                  <c:v>6591</c:v>
                </c:pt>
                <c:pt idx="21">
                  <c:v>6796</c:v>
                </c:pt>
                <c:pt idx="22">
                  <c:v>6687</c:v>
                </c:pt>
                <c:pt idx="23">
                  <c:v>6649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60-41ED-AA44-CB2625A9F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427903"/>
        <c:axId val="853427071"/>
      </c:lineChart>
      <c:catAx>
        <c:axId val="853427903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+mn-ea"/>
                <a:cs typeface="+mn-cs"/>
              </a:defRPr>
            </a:pPr>
            <a:endParaRPr lang="ru-RU"/>
          </a:p>
        </c:txPr>
        <c:crossAx val="85342707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853427071"/>
        <c:scaling>
          <c:orientation val="minMax"/>
          <c:min val="4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lg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+mn-ea"/>
                <a:cs typeface="+mn-cs"/>
              </a:defRPr>
            </a:pPr>
            <a:endParaRPr lang="ru-RU"/>
          </a:p>
        </c:txPr>
        <c:crossAx val="85342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Tahoma" panose="020B060403050404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ahoma" panose="020B0604030504040204" pitchFamily="34" charset="0"/>
                <a:ea typeface="+mn-ea"/>
                <a:cs typeface="+mn-cs"/>
              </a:defRPr>
            </a:pPr>
            <a:r>
              <a:rPr lang="ru-RU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Обороты </a:t>
            </a: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GPA3</a:t>
            </a:r>
            <a:endParaRPr lang="ru-RU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ahoma" panose="020B0604030504040204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493292742974827"/>
          <c:y val="0.1318112330373597"/>
          <c:w val="0.74281953018783464"/>
          <c:h val="0.73529171553023953"/>
        </c:manualLayout>
      </c:layout>
      <c:lineChart>
        <c:grouping val="standard"/>
        <c:varyColors val="0"/>
        <c:ser>
          <c:idx val="0"/>
          <c:order val="0"/>
          <c:tx>
            <c:v>PID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Сравнение!$A$1:$A$24</c:f>
              <c:numCache>
                <c:formatCode>0.00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simulation_results_PID_2400!$I$2:$I$25</c:f>
              <c:numCache>
                <c:formatCode>General</c:formatCode>
                <c:ptCount val="24"/>
                <c:pt idx="0">
                  <c:v>4679</c:v>
                </c:pt>
                <c:pt idx="1">
                  <c:v>4955</c:v>
                </c:pt>
                <c:pt idx="2">
                  <c:v>5231</c:v>
                </c:pt>
                <c:pt idx="3">
                  <c:v>5507</c:v>
                </c:pt>
                <c:pt idx="4">
                  <c:v>5783</c:v>
                </c:pt>
                <c:pt idx="5">
                  <c:v>6059</c:v>
                </c:pt>
                <c:pt idx="6">
                  <c:v>6298</c:v>
                </c:pt>
                <c:pt idx="7">
                  <c:v>6438</c:v>
                </c:pt>
                <c:pt idx="8">
                  <c:v>6529</c:v>
                </c:pt>
                <c:pt idx="9">
                  <c:v>6591</c:v>
                </c:pt>
                <c:pt idx="10">
                  <c:v>6635</c:v>
                </c:pt>
                <c:pt idx="11">
                  <c:v>6666</c:v>
                </c:pt>
                <c:pt idx="12">
                  <c:v>6689</c:v>
                </c:pt>
                <c:pt idx="13">
                  <c:v>6706</c:v>
                </c:pt>
                <c:pt idx="14">
                  <c:v>6719</c:v>
                </c:pt>
                <c:pt idx="15">
                  <c:v>6728</c:v>
                </c:pt>
                <c:pt idx="16">
                  <c:v>6735</c:v>
                </c:pt>
                <c:pt idx="17">
                  <c:v>6740</c:v>
                </c:pt>
                <c:pt idx="18">
                  <c:v>6739</c:v>
                </c:pt>
                <c:pt idx="19">
                  <c:v>6739</c:v>
                </c:pt>
                <c:pt idx="20">
                  <c:v>6738</c:v>
                </c:pt>
                <c:pt idx="21">
                  <c:v>6738</c:v>
                </c:pt>
                <c:pt idx="22">
                  <c:v>6737</c:v>
                </c:pt>
                <c:pt idx="23">
                  <c:v>6737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AD-4D3D-9364-09FDEEB86E05}"/>
            </c:ext>
          </c:extLst>
        </c:ser>
        <c:ser>
          <c:idx val="1"/>
          <c:order val="1"/>
          <c:tx>
            <c:v>PSO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Сравнение!$A$1:$A$24</c:f>
              <c:numCache>
                <c:formatCode>0.00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simulation_results_PSO_2400!$I$2:$I$25</c:f>
              <c:numCache>
                <c:formatCode>General</c:formatCode>
                <c:ptCount val="24"/>
                <c:pt idx="0">
                  <c:v>5094</c:v>
                </c:pt>
                <c:pt idx="1">
                  <c:v>5704</c:v>
                </c:pt>
                <c:pt idx="2">
                  <c:v>6400</c:v>
                </c:pt>
                <c:pt idx="3">
                  <c:v>6451</c:v>
                </c:pt>
                <c:pt idx="4">
                  <c:v>6452</c:v>
                </c:pt>
                <c:pt idx="5">
                  <c:v>6442</c:v>
                </c:pt>
                <c:pt idx="6">
                  <c:v>6438</c:v>
                </c:pt>
                <c:pt idx="7">
                  <c:v>6392</c:v>
                </c:pt>
                <c:pt idx="8">
                  <c:v>6441</c:v>
                </c:pt>
                <c:pt idx="9">
                  <c:v>6437</c:v>
                </c:pt>
                <c:pt idx="10">
                  <c:v>6443</c:v>
                </c:pt>
                <c:pt idx="11">
                  <c:v>6485</c:v>
                </c:pt>
                <c:pt idx="12">
                  <c:v>6448</c:v>
                </c:pt>
                <c:pt idx="13">
                  <c:v>6434</c:v>
                </c:pt>
                <c:pt idx="14">
                  <c:v>6447</c:v>
                </c:pt>
                <c:pt idx="15">
                  <c:v>6506</c:v>
                </c:pt>
                <c:pt idx="16">
                  <c:v>6466</c:v>
                </c:pt>
                <c:pt idx="17">
                  <c:v>6442</c:v>
                </c:pt>
                <c:pt idx="18">
                  <c:v>6431</c:v>
                </c:pt>
                <c:pt idx="19">
                  <c:v>6434</c:v>
                </c:pt>
                <c:pt idx="20">
                  <c:v>6447</c:v>
                </c:pt>
                <c:pt idx="21">
                  <c:v>6447</c:v>
                </c:pt>
                <c:pt idx="22">
                  <c:v>6429</c:v>
                </c:pt>
                <c:pt idx="23">
                  <c:v>6441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AD-4D3D-9364-09FDEEB86E05}"/>
            </c:ext>
          </c:extLst>
        </c:ser>
        <c:ser>
          <c:idx val="2"/>
          <c:order val="2"/>
          <c:tx>
            <c:v>GWO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Сравнение!$A$1:$A$24</c:f>
              <c:numCache>
                <c:formatCode>0.00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simulation_results_GWO_2400!$I$2:$I$25</c:f>
              <c:numCache>
                <c:formatCode>General</c:formatCode>
                <c:ptCount val="24"/>
                <c:pt idx="0">
                  <c:v>5200</c:v>
                </c:pt>
                <c:pt idx="1">
                  <c:v>6000</c:v>
                </c:pt>
                <c:pt idx="2">
                  <c:v>6397</c:v>
                </c:pt>
                <c:pt idx="3">
                  <c:v>6418</c:v>
                </c:pt>
                <c:pt idx="4">
                  <c:v>6685</c:v>
                </c:pt>
                <c:pt idx="5">
                  <c:v>6233</c:v>
                </c:pt>
                <c:pt idx="6">
                  <c:v>6657</c:v>
                </c:pt>
                <c:pt idx="7">
                  <c:v>6617</c:v>
                </c:pt>
                <c:pt idx="8">
                  <c:v>6435</c:v>
                </c:pt>
                <c:pt idx="9">
                  <c:v>6481</c:v>
                </c:pt>
                <c:pt idx="10">
                  <c:v>6642</c:v>
                </c:pt>
                <c:pt idx="11">
                  <c:v>6327</c:v>
                </c:pt>
                <c:pt idx="12">
                  <c:v>6670</c:v>
                </c:pt>
                <c:pt idx="13">
                  <c:v>6384</c:v>
                </c:pt>
                <c:pt idx="14">
                  <c:v>6288</c:v>
                </c:pt>
                <c:pt idx="15">
                  <c:v>6491</c:v>
                </c:pt>
                <c:pt idx="16">
                  <c:v>6518</c:v>
                </c:pt>
                <c:pt idx="17">
                  <c:v>6394</c:v>
                </c:pt>
                <c:pt idx="18">
                  <c:v>6400</c:v>
                </c:pt>
                <c:pt idx="19">
                  <c:v>6358</c:v>
                </c:pt>
                <c:pt idx="20">
                  <c:v>6484</c:v>
                </c:pt>
                <c:pt idx="21">
                  <c:v>6275</c:v>
                </c:pt>
                <c:pt idx="22">
                  <c:v>6298</c:v>
                </c:pt>
                <c:pt idx="23">
                  <c:v>6535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3AD-4D3D-9364-09FDEEB86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427903"/>
        <c:axId val="853427071"/>
      </c:lineChart>
      <c:catAx>
        <c:axId val="853427903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+mn-ea"/>
                <a:cs typeface="+mn-cs"/>
              </a:defRPr>
            </a:pPr>
            <a:endParaRPr lang="ru-RU"/>
          </a:p>
        </c:txPr>
        <c:crossAx val="85342707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853427071"/>
        <c:scaling>
          <c:orientation val="minMax"/>
          <c:min val="45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lg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+mn-ea"/>
                <a:cs typeface="+mn-cs"/>
              </a:defRPr>
            </a:pPr>
            <a:endParaRPr lang="ru-RU"/>
          </a:p>
        </c:txPr>
        <c:crossAx val="85342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Tahoma" panose="020B060403050404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+mn-ea"/>
                <a:cs typeface="+mn-cs"/>
              </a:defRPr>
            </a:pPr>
            <a:r>
              <a:rPr lang="ru-RU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Значение</a:t>
            </a: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q_term</a:t>
            </a:r>
            <a:r>
              <a:rPr lang="ru-RU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PID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Сравнение!$A$1:$A$24</c:f>
              <c:numCache>
                <c:formatCode>0.00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simulation_results_PID_2400!$Q$2:$Q$25</c:f>
              <c:numCache>
                <c:formatCode>General</c:formatCode>
                <c:ptCount val="24"/>
                <c:pt idx="0">
                  <c:v>1288341.1499999999</c:v>
                </c:pt>
                <c:pt idx="1">
                  <c:v>942331.24</c:v>
                </c:pt>
                <c:pt idx="2">
                  <c:v>643292.49</c:v>
                </c:pt>
                <c:pt idx="3">
                  <c:v>393805.46</c:v>
                </c:pt>
                <c:pt idx="4">
                  <c:v>208079.24</c:v>
                </c:pt>
                <c:pt idx="5">
                  <c:v>87551.4</c:v>
                </c:pt>
                <c:pt idx="6">
                  <c:v>29822.75</c:v>
                </c:pt>
                <c:pt idx="7">
                  <c:v>12072.02</c:v>
                </c:pt>
                <c:pt idx="8">
                  <c:v>5320.76</c:v>
                </c:pt>
                <c:pt idx="9">
                  <c:v>2459.25</c:v>
                </c:pt>
                <c:pt idx="10">
                  <c:v>1160.6300000000001</c:v>
                </c:pt>
                <c:pt idx="11">
                  <c:v>546.65</c:v>
                </c:pt>
                <c:pt idx="12">
                  <c:v>250.53</c:v>
                </c:pt>
                <c:pt idx="13">
                  <c:v>107.78</c:v>
                </c:pt>
                <c:pt idx="14">
                  <c:v>40.770000000000003</c:v>
                </c:pt>
                <c:pt idx="15">
                  <c:v>11.6</c:v>
                </c:pt>
                <c:pt idx="16">
                  <c:v>1.31</c:v>
                </c:pt>
                <c:pt idx="17">
                  <c:v>0.37</c:v>
                </c:pt>
                <c:pt idx="18">
                  <c:v>0.23</c:v>
                </c:pt>
                <c:pt idx="19">
                  <c:v>0.16</c:v>
                </c:pt>
                <c:pt idx="20">
                  <c:v>0.12</c:v>
                </c:pt>
                <c:pt idx="21">
                  <c:v>0.1</c:v>
                </c:pt>
                <c:pt idx="22">
                  <c:v>0.11</c:v>
                </c:pt>
                <c:pt idx="23">
                  <c:v>0.2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7E-440E-9468-41A4461FB919}"/>
            </c:ext>
          </c:extLst>
        </c:ser>
        <c:ser>
          <c:idx val="1"/>
          <c:order val="1"/>
          <c:tx>
            <c:v>PSO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Сравнение!$A$1:$A$24</c:f>
              <c:numCache>
                <c:formatCode>0.00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simulation_results_PSO_2400!$Q$2:$Q$25</c:f>
              <c:numCache>
                <c:formatCode>General</c:formatCode>
                <c:ptCount val="24"/>
                <c:pt idx="0">
                  <c:v>646927.18000000005</c:v>
                </c:pt>
                <c:pt idx="1">
                  <c:v>97901.53</c:v>
                </c:pt>
                <c:pt idx="2">
                  <c:v>6.05</c:v>
                </c:pt>
                <c:pt idx="3">
                  <c:v>0.03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0.15</c:v>
                </c:pt>
                <c:pt idx="8">
                  <c:v>0</c:v>
                </c:pt>
                <c:pt idx="9">
                  <c:v>0.01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0.1</c:v>
                </c:pt>
                <c:pt idx="14">
                  <c:v>0.01</c:v>
                </c:pt>
                <c:pt idx="15">
                  <c:v>0.56999999999999995</c:v>
                </c:pt>
                <c:pt idx="16">
                  <c:v>0.03</c:v>
                </c:pt>
                <c:pt idx="17">
                  <c:v>0.05</c:v>
                </c:pt>
                <c:pt idx="18">
                  <c:v>0</c:v>
                </c:pt>
                <c:pt idx="19">
                  <c:v>0.09</c:v>
                </c:pt>
                <c:pt idx="20">
                  <c:v>0</c:v>
                </c:pt>
                <c:pt idx="21">
                  <c:v>0.01</c:v>
                </c:pt>
                <c:pt idx="22">
                  <c:v>0.05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97E-440E-9468-41A4461FB919}"/>
            </c:ext>
          </c:extLst>
        </c:ser>
        <c:ser>
          <c:idx val="2"/>
          <c:order val="2"/>
          <c:tx>
            <c:v>GWO</c:v>
          </c:tx>
          <c:spPr>
            <a:ln w="254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Сравнение!$A$1:$A$24</c:f>
              <c:numCache>
                <c:formatCode>0.00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simulation_results_GWO_2400!$Q$2:$Q$25</c:f>
              <c:numCache>
                <c:formatCode>General</c:formatCode>
                <c:ptCount val="24"/>
                <c:pt idx="0">
                  <c:v>498631.44</c:v>
                </c:pt>
                <c:pt idx="1">
                  <c:v>20895.47</c:v>
                </c:pt>
                <c:pt idx="2">
                  <c:v>0.14000000000000001</c:v>
                </c:pt>
                <c:pt idx="3">
                  <c:v>0.13</c:v>
                </c:pt>
                <c:pt idx="4">
                  <c:v>7.6</c:v>
                </c:pt>
                <c:pt idx="5">
                  <c:v>3.43</c:v>
                </c:pt>
                <c:pt idx="6">
                  <c:v>2.74</c:v>
                </c:pt>
                <c:pt idx="7">
                  <c:v>1.9</c:v>
                </c:pt>
                <c:pt idx="8">
                  <c:v>0.27</c:v>
                </c:pt>
                <c:pt idx="9">
                  <c:v>4.6100000000000003</c:v>
                </c:pt>
                <c:pt idx="10">
                  <c:v>5.36</c:v>
                </c:pt>
                <c:pt idx="11">
                  <c:v>1.83</c:v>
                </c:pt>
                <c:pt idx="12">
                  <c:v>13.13</c:v>
                </c:pt>
                <c:pt idx="13">
                  <c:v>5.01</c:v>
                </c:pt>
                <c:pt idx="14">
                  <c:v>12.66</c:v>
                </c:pt>
                <c:pt idx="15">
                  <c:v>7.22</c:v>
                </c:pt>
                <c:pt idx="16">
                  <c:v>0.01</c:v>
                </c:pt>
                <c:pt idx="17">
                  <c:v>4.08</c:v>
                </c:pt>
                <c:pt idx="18">
                  <c:v>2.0099999999999998</c:v>
                </c:pt>
                <c:pt idx="19">
                  <c:v>0.62</c:v>
                </c:pt>
                <c:pt idx="20">
                  <c:v>4.07</c:v>
                </c:pt>
                <c:pt idx="21">
                  <c:v>7.0000000000000007E-2</c:v>
                </c:pt>
                <c:pt idx="22">
                  <c:v>7.67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7E-440E-9468-41A4461FB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3781455"/>
        <c:axId val="1213782703"/>
      </c:lineChart>
      <c:catAx>
        <c:axId val="1213781455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+mn-ea"/>
                <a:cs typeface="+mn-cs"/>
              </a:defRPr>
            </a:pPr>
            <a:endParaRPr lang="ru-RU"/>
          </a:p>
        </c:txPr>
        <c:crossAx val="1213782703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213782703"/>
        <c:scaling>
          <c:orientation val="minMax"/>
          <c:max val="14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lg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+mn-ea"/>
                <a:cs typeface="+mn-cs"/>
              </a:defRPr>
            </a:pPr>
            <a:endParaRPr lang="ru-RU"/>
          </a:p>
        </c:txPr>
        <c:crossAx val="1213781455"/>
        <c:crossesAt val="0"/>
        <c:crossBetween val="midCat"/>
        <c:majorUnit val="22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Tahoma" panose="020B060403050404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+mn-ea"/>
                <a:cs typeface="+mn-cs"/>
              </a:defRPr>
            </a:pPr>
            <a:r>
              <a:rPr lang="ru-RU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Значение</a:t>
            </a: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f_term</a:t>
            </a:r>
            <a:r>
              <a:rPr lang="ru-RU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PID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Сравнение!$A$1:$A$24</c:f>
              <c:numCache>
                <c:formatCode>0.00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simulation_results_PID_2400!$R$2:$R$25</c:f>
              <c:numCache>
                <c:formatCode>General</c:formatCode>
                <c:ptCount val="24"/>
                <c:pt idx="0">
                  <c:v>16.66</c:v>
                </c:pt>
                <c:pt idx="1">
                  <c:v>18.29</c:v>
                </c:pt>
                <c:pt idx="2">
                  <c:v>20.23</c:v>
                </c:pt>
                <c:pt idx="3">
                  <c:v>22.48</c:v>
                </c:pt>
                <c:pt idx="4">
                  <c:v>25.15</c:v>
                </c:pt>
                <c:pt idx="5">
                  <c:v>28.39</c:v>
                </c:pt>
                <c:pt idx="6">
                  <c:v>31.79</c:v>
                </c:pt>
                <c:pt idx="7">
                  <c:v>34.119999999999997</c:v>
                </c:pt>
                <c:pt idx="8">
                  <c:v>35.81</c:v>
                </c:pt>
                <c:pt idx="9">
                  <c:v>37.03</c:v>
                </c:pt>
                <c:pt idx="10">
                  <c:v>37.94</c:v>
                </c:pt>
                <c:pt idx="11">
                  <c:v>38.619999999999997</c:v>
                </c:pt>
                <c:pt idx="12">
                  <c:v>39.130000000000003</c:v>
                </c:pt>
                <c:pt idx="13">
                  <c:v>39.51</c:v>
                </c:pt>
                <c:pt idx="14">
                  <c:v>39.79</c:v>
                </c:pt>
                <c:pt idx="15">
                  <c:v>40.01</c:v>
                </c:pt>
                <c:pt idx="16">
                  <c:v>40.159999999999997</c:v>
                </c:pt>
                <c:pt idx="17">
                  <c:v>40.28</c:v>
                </c:pt>
                <c:pt idx="18">
                  <c:v>40.26</c:v>
                </c:pt>
                <c:pt idx="19">
                  <c:v>40.25</c:v>
                </c:pt>
                <c:pt idx="20">
                  <c:v>40.24</c:v>
                </c:pt>
                <c:pt idx="21">
                  <c:v>40.229999999999997</c:v>
                </c:pt>
                <c:pt idx="22">
                  <c:v>40.229999999999997</c:v>
                </c:pt>
                <c:pt idx="23">
                  <c:v>40.21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48-40B8-8602-41C0D3D3B14D}"/>
            </c:ext>
          </c:extLst>
        </c:ser>
        <c:ser>
          <c:idx val="1"/>
          <c:order val="1"/>
          <c:tx>
            <c:v>PSO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Сравнение!$A$1:$A$24</c:f>
              <c:numCache>
                <c:formatCode>0.00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simulation_results_PSO_2400!$R$2:$R$25</c:f>
              <c:numCache>
                <c:formatCode>General</c:formatCode>
                <c:ptCount val="24"/>
                <c:pt idx="0">
                  <c:v>19.329999999999998</c:v>
                </c:pt>
                <c:pt idx="1">
                  <c:v>25.35</c:v>
                </c:pt>
                <c:pt idx="2">
                  <c:v>32.43</c:v>
                </c:pt>
                <c:pt idx="3">
                  <c:v>32.89</c:v>
                </c:pt>
                <c:pt idx="4">
                  <c:v>32.9</c:v>
                </c:pt>
                <c:pt idx="5">
                  <c:v>32.89</c:v>
                </c:pt>
                <c:pt idx="6">
                  <c:v>32.89</c:v>
                </c:pt>
                <c:pt idx="7">
                  <c:v>32.82</c:v>
                </c:pt>
                <c:pt idx="8">
                  <c:v>32.92</c:v>
                </c:pt>
                <c:pt idx="9">
                  <c:v>32.89</c:v>
                </c:pt>
                <c:pt idx="10">
                  <c:v>32.94</c:v>
                </c:pt>
                <c:pt idx="11">
                  <c:v>33.04</c:v>
                </c:pt>
                <c:pt idx="12">
                  <c:v>32.89</c:v>
                </c:pt>
                <c:pt idx="13">
                  <c:v>32.81</c:v>
                </c:pt>
                <c:pt idx="14">
                  <c:v>32.909999999999997</c:v>
                </c:pt>
                <c:pt idx="15">
                  <c:v>32.97</c:v>
                </c:pt>
                <c:pt idx="16">
                  <c:v>33.01</c:v>
                </c:pt>
                <c:pt idx="17">
                  <c:v>32.92</c:v>
                </c:pt>
                <c:pt idx="18">
                  <c:v>32.9</c:v>
                </c:pt>
                <c:pt idx="19">
                  <c:v>32.950000000000003</c:v>
                </c:pt>
                <c:pt idx="20">
                  <c:v>32.9</c:v>
                </c:pt>
                <c:pt idx="21">
                  <c:v>32.94</c:v>
                </c:pt>
                <c:pt idx="22">
                  <c:v>33.01</c:v>
                </c:pt>
                <c:pt idx="23">
                  <c:v>32.869999999999997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48-40B8-8602-41C0D3D3B14D}"/>
            </c:ext>
          </c:extLst>
        </c:ser>
        <c:ser>
          <c:idx val="2"/>
          <c:order val="2"/>
          <c:tx>
            <c:v>GWO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Сравнение!$A$1:$A$24</c:f>
              <c:numCache>
                <c:formatCode>0.00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simulation_results_GWO_2400!$R$2:$R$25</c:f>
              <c:numCache>
                <c:formatCode>General</c:formatCode>
                <c:ptCount val="24"/>
                <c:pt idx="0">
                  <c:v>20.25</c:v>
                </c:pt>
                <c:pt idx="1">
                  <c:v>28.22</c:v>
                </c:pt>
                <c:pt idx="2">
                  <c:v>32.229999999999997</c:v>
                </c:pt>
                <c:pt idx="3">
                  <c:v>32.78</c:v>
                </c:pt>
                <c:pt idx="4">
                  <c:v>33.53</c:v>
                </c:pt>
                <c:pt idx="5">
                  <c:v>33.72</c:v>
                </c:pt>
                <c:pt idx="6">
                  <c:v>33.72</c:v>
                </c:pt>
                <c:pt idx="7">
                  <c:v>32.96</c:v>
                </c:pt>
                <c:pt idx="8">
                  <c:v>33.04</c:v>
                </c:pt>
                <c:pt idx="9">
                  <c:v>32.369999999999997</c:v>
                </c:pt>
                <c:pt idx="10">
                  <c:v>33.1</c:v>
                </c:pt>
                <c:pt idx="11">
                  <c:v>32.36</c:v>
                </c:pt>
                <c:pt idx="12">
                  <c:v>33.68</c:v>
                </c:pt>
                <c:pt idx="13">
                  <c:v>33.86</c:v>
                </c:pt>
                <c:pt idx="14">
                  <c:v>32.869999999999997</c:v>
                </c:pt>
                <c:pt idx="15">
                  <c:v>32.51</c:v>
                </c:pt>
                <c:pt idx="16">
                  <c:v>32.85</c:v>
                </c:pt>
                <c:pt idx="17">
                  <c:v>32.81</c:v>
                </c:pt>
                <c:pt idx="18">
                  <c:v>32.14</c:v>
                </c:pt>
                <c:pt idx="19">
                  <c:v>32.4</c:v>
                </c:pt>
                <c:pt idx="20">
                  <c:v>32.61</c:v>
                </c:pt>
                <c:pt idx="21">
                  <c:v>32.67</c:v>
                </c:pt>
                <c:pt idx="22">
                  <c:v>32.26</c:v>
                </c:pt>
                <c:pt idx="23">
                  <c:v>32.979999999999997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48-40B8-8602-41C0D3D3B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3781455"/>
        <c:axId val="1213782703"/>
      </c:lineChart>
      <c:catAx>
        <c:axId val="1213781455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+mn-ea"/>
                <a:cs typeface="+mn-cs"/>
              </a:defRPr>
            </a:pPr>
            <a:endParaRPr lang="ru-RU"/>
          </a:p>
        </c:txPr>
        <c:crossAx val="1213782703"/>
        <c:crosses val="autoZero"/>
        <c:auto val="1"/>
        <c:lblAlgn val="ctr"/>
        <c:lblOffset val="100"/>
        <c:tickLblSkip val="4"/>
        <c:noMultiLvlLbl val="0"/>
      </c:catAx>
      <c:valAx>
        <c:axId val="121378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lg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+mn-ea"/>
                <a:cs typeface="+mn-cs"/>
              </a:defRPr>
            </a:pPr>
            <a:endParaRPr lang="ru-RU"/>
          </a:p>
        </c:txPr>
        <c:crossAx val="121378145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Tahoma" panose="020B060403050404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+mn-ea"/>
                <a:cs typeface="+mn-cs"/>
              </a:defRPr>
            </a:pPr>
            <a:r>
              <a:rPr lang="ru-RU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Значение</a:t>
            </a: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b_term</a:t>
            </a:r>
            <a:r>
              <a:rPr lang="ru-RU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PID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Сравнение!$A$1:$A$24</c:f>
              <c:numCache>
                <c:formatCode>0.00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simulation_results_PID_2400!$S$2:$S$25</c:f>
              <c:numCache>
                <c:formatCode>General</c:formatCode>
                <c:ptCount val="24"/>
                <c:pt idx="0">
                  <c:v>0.9</c:v>
                </c:pt>
                <c:pt idx="1">
                  <c:v>2.21</c:v>
                </c:pt>
                <c:pt idx="2">
                  <c:v>2.29</c:v>
                </c:pt>
                <c:pt idx="3">
                  <c:v>3.31</c:v>
                </c:pt>
                <c:pt idx="4">
                  <c:v>6.12</c:v>
                </c:pt>
                <c:pt idx="5">
                  <c:v>11.98</c:v>
                </c:pt>
                <c:pt idx="6">
                  <c:v>20.48</c:v>
                </c:pt>
                <c:pt idx="7">
                  <c:v>27.16</c:v>
                </c:pt>
                <c:pt idx="8">
                  <c:v>32.17</c:v>
                </c:pt>
                <c:pt idx="9">
                  <c:v>35.86</c:v>
                </c:pt>
                <c:pt idx="10">
                  <c:v>38.58</c:v>
                </c:pt>
                <c:pt idx="11">
                  <c:v>40.590000000000003</c:v>
                </c:pt>
                <c:pt idx="12">
                  <c:v>42.09</c:v>
                </c:pt>
                <c:pt idx="13">
                  <c:v>43.21</c:v>
                </c:pt>
                <c:pt idx="14">
                  <c:v>44.05</c:v>
                </c:pt>
                <c:pt idx="15">
                  <c:v>44.67</c:v>
                </c:pt>
                <c:pt idx="16">
                  <c:v>45.13</c:v>
                </c:pt>
                <c:pt idx="17">
                  <c:v>45.46</c:v>
                </c:pt>
                <c:pt idx="18">
                  <c:v>45.42</c:v>
                </c:pt>
                <c:pt idx="19">
                  <c:v>45.39</c:v>
                </c:pt>
                <c:pt idx="20">
                  <c:v>45.36</c:v>
                </c:pt>
                <c:pt idx="21">
                  <c:v>45.34</c:v>
                </c:pt>
                <c:pt idx="22">
                  <c:v>45.31</c:v>
                </c:pt>
                <c:pt idx="23">
                  <c:v>45.28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21-44E1-9CF0-8BD4184B0D13}"/>
            </c:ext>
          </c:extLst>
        </c:ser>
        <c:ser>
          <c:idx val="1"/>
          <c:order val="1"/>
          <c:tx>
            <c:v>PSO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>
                    <a:alpha val="94000"/>
                  </a:schemeClr>
                </a:solidFill>
              </a:ln>
              <a:effectLst/>
            </c:spPr>
          </c:marker>
          <c:cat>
            <c:numRef>
              <c:f>Сравнение!$A$1:$A$24</c:f>
              <c:numCache>
                <c:formatCode>0.00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simulation_results_PSO_2400!$S$2:$S$25</c:f>
              <c:numCache>
                <c:formatCode>General</c:formatCode>
                <c:ptCount val="24"/>
                <c:pt idx="0">
                  <c:v>7.33</c:v>
                </c:pt>
                <c:pt idx="1">
                  <c:v>41</c:v>
                </c:pt>
                <c:pt idx="2">
                  <c:v>9.24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0.05</c:v>
                </c:pt>
                <c:pt idx="6">
                  <c:v>0.04</c:v>
                </c:pt>
                <c:pt idx="7">
                  <c:v>0.96</c:v>
                </c:pt>
                <c:pt idx="8">
                  <c:v>0.01</c:v>
                </c:pt>
                <c:pt idx="9">
                  <c:v>0.06</c:v>
                </c:pt>
                <c:pt idx="10">
                  <c:v>0.02</c:v>
                </c:pt>
                <c:pt idx="11">
                  <c:v>0.55000000000000004</c:v>
                </c:pt>
                <c:pt idx="12">
                  <c:v>7.0000000000000007E-2</c:v>
                </c:pt>
                <c:pt idx="13">
                  <c:v>0.39</c:v>
                </c:pt>
                <c:pt idx="14">
                  <c:v>0.01</c:v>
                </c:pt>
                <c:pt idx="15">
                  <c:v>1.31</c:v>
                </c:pt>
                <c:pt idx="16">
                  <c:v>0.23</c:v>
                </c:pt>
                <c:pt idx="17">
                  <c:v>0.02</c:v>
                </c:pt>
                <c:pt idx="18">
                  <c:v>0.08</c:v>
                </c:pt>
                <c:pt idx="19">
                  <c:v>0.11</c:v>
                </c:pt>
                <c:pt idx="20">
                  <c:v>0.06</c:v>
                </c:pt>
                <c:pt idx="21">
                  <c:v>0</c:v>
                </c:pt>
                <c:pt idx="22">
                  <c:v>0.44</c:v>
                </c:pt>
                <c:pt idx="23">
                  <c:v>0.1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121-44E1-9CF0-8BD4184B0D13}"/>
            </c:ext>
          </c:extLst>
        </c:ser>
        <c:ser>
          <c:idx val="2"/>
          <c:order val="2"/>
          <c:tx>
            <c:v>GWO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Сравнение!$A$1:$A$24</c:f>
              <c:numCache>
                <c:formatCode>0.00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simulation_results_GWO_2400!$S$2:$S$25</c:f>
              <c:numCache>
                <c:formatCode>General</c:formatCode>
                <c:ptCount val="24"/>
                <c:pt idx="0">
                  <c:v>13.42</c:v>
                </c:pt>
                <c:pt idx="1">
                  <c:v>34.76</c:v>
                </c:pt>
                <c:pt idx="2">
                  <c:v>5.34</c:v>
                </c:pt>
                <c:pt idx="3">
                  <c:v>2.61</c:v>
                </c:pt>
                <c:pt idx="4">
                  <c:v>23.86</c:v>
                </c:pt>
                <c:pt idx="5">
                  <c:v>33.049999999999997</c:v>
                </c:pt>
                <c:pt idx="6">
                  <c:v>28.57</c:v>
                </c:pt>
                <c:pt idx="7">
                  <c:v>11.46</c:v>
                </c:pt>
                <c:pt idx="8">
                  <c:v>6.6</c:v>
                </c:pt>
                <c:pt idx="9">
                  <c:v>5.46</c:v>
                </c:pt>
                <c:pt idx="10">
                  <c:v>14.26</c:v>
                </c:pt>
                <c:pt idx="11">
                  <c:v>3.97</c:v>
                </c:pt>
                <c:pt idx="12">
                  <c:v>29.41</c:v>
                </c:pt>
                <c:pt idx="13">
                  <c:v>26.61</c:v>
                </c:pt>
                <c:pt idx="14">
                  <c:v>9.3800000000000008</c:v>
                </c:pt>
                <c:pt idx="15">
                  <c:v>5.78</c:v>
                </c:pt>
                <c:pt idx="16">
                  <c:v>4.0199999999999996</c:v>
                </c:pt>
                <c:pt idx="17">
                  <c:v>2.63</c:v>
                </c:pt>
                <c:pt idx="18">
                  <c:v>13.45</c:v>
                </c:pt>
                <c:pt idx="19">
                  <c:v>1.1200000000000001</c:v>
                </c:pt>
                <c:pt idx="20">
                  <c:v>1.49</c:v>
                </c:pt>
                <c:pt idx="21">
                  <c:v>9.33</c:v>
                </c:pt>
                <c:pt idx="22">
                  <c:v>4.58</c:v>
                </c:pt>
                <c:pt idx="23">
                  <c:v>5.17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121-44E1-9CF0-8BD4184B0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3781455"/>
        <c:axId val="1213782703"/>
      </c:lineChart>
      <c:catAx>
        <c:axId val="1213781455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+mn-ea"/>
                <a:cs typeface="+mn-cs"/>
              </a:defRPr>
            </a:pPr>
            <a:endParaRPr lang="ru-RU"/>
          </a:p>
        </c:txPr>
        <c:crossAx val="1213782703"/>
        <c:crosses val="autoZero"/>
        <c:auto val="1"/>
        <c:lblAlgn val="ctr"/>
        <c:lblOffset val="100"/>
        <c:tickLblSkip val="4"/>
        <c:noMultiLvlLbl val="0"/>
      </c:catAx>
      <c:valAx>
        <c:axId val="12137827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lg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+mn-ea"/>
                <a:cs typeface="+mn-cs"/>
              </a:defRPr>
            </a:pPr>
            <a:endParaRPr lang="ru-RU"/>
          </a:p>
        </c:txPr>
        <c:crossAx val="121378145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Tahoma" panose="020B060403050404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152945</xdr:colOff>
      <xdr:row>32</xdr:row>
      <xdr:rowOff>124641</xdr:rowOff>
    </xdr:from>
    <xdr:to>
      <xdr:col>7</xdr:col>
      <xdr:colOff>309155</xdr:colOff>
      <xdr:row>47</xdr:row>
      <xdr:rowOff>137976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80C0105-D620-4BFE-AF9E-58657D684B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584698</xdr:colOff>
      <xdr:row>31</xdr:row>
      <xdr:rowOff>23539</xdr:rowOff>
    </xdr:from>
    <xdr:to>
      <xdr:col>13</xdr:col>
      <xdr:colOff>490401</xdr:colOff>
      <xdr:row>49</xdr:row>
      <xdr:rowOff>16872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EBC0650-07A6-4F9F-8B14-22610D152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262058</xdr:colOff>
      <xdr:row>31</xdr:row>
      <xdr:rowOff>29039</xdr:rowOff>
    </xdr:from>
    <xdr:to>
      <xdr:col>19</xdr:col>
      <xdr:colOff>910174</xdr:colOff>
      <xdr:row>46</xdr:row>
      <xdr:rowOff>113627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EC85D28-9143-4E7F-B744-EBCE7C8F8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405316</xdr:colOff>
      <xdr:row>29</xdr:row>
      <xdr:rowOff>139940</xdr:rowOff>
    </xdr:from>
    <xdr:to>
      <xdr:col>7</xdr:col>
      <xdr:colOff>759231</xdr:colOff>
      <xdr:row>44</xdr:row>
      <xdr:rowOff>113446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DCFE4C4-452B-4772-8A4F-1BA3A8A42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57958</xdr:colOff>
      <xdr:row>28</xdr:row>
      <xdr:rowOff>115870</xdr:rowOff>
    </xdr:from>
    <xdr:to>
      <xdr:col>14</xdr:col>
      <xdr:colOff>603084</xdr:colOff>
      <xdr:row>46</xdr:row>
      <xdr:rowOff>67886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3753D80-C9C6-49B2-B534-3CAC452003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284405</xdr:colOff>
      <xdr:row>29</xdr:row>
      <xdr:rowOff>50324</xdr:rowOff>
    </xdr:from>
    <xdr:to>
      <xdr:col>21</xdr:col>
      <xdr:colOff>17833</xdr:colOff>
      <xdr:row>44</xdr:row>
      <xdr:rowOff>96988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41C0988-935C-4F90-9CFB-BE8E1D0AD6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942110</xdr:colOff>
      <xdr:row>28</xdr:row>
      <xdr:rowOff>162615</xdr:rowOff>
    </xdr:from>
    <xdr:to>
      <xdr:col>9</xdr:col>
      <xdr:colOff>478606</xdr:colOff>
      <xdr:row>43</xdr:row>
      <xdr:rowOff>136121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23B19F0-37E1-4F8C-B795-9B4BC7395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636315</xdr:colOff>
      <xdr:row>27</xdr:row>
      <xdr:rowOff>110837</xdr:rowOff>
    </xdr:from>
    <xdr:to>
      <xdr:col>15</xdr:col>
      <xdr:colOff>738096</xdr:colOff>
      <xdr:row>45</xdr:row>
      <xdr:rowOff>62852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B30A42F-ABEB-4537-A013-FD638D1AF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654944</xdr:colOff>
      <xdr:row>29</xdr:row>
      <xdr:rowOff>73000</xdr:rowOff>
    </xdr:from>
    <xdr:to>
      <xdr:col>21</xdr:col>
      <xdr:colOff>1039536</xdr:colOff>
      <xdr:row>44</xdr:row>
      <xdr:rowOff>119664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D361059-7FE5-4F64-86F8-E21E9879D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51163</xdr:colOff>
      <xdr:row>1</xdr:row>
      <xdr:rowOff>157299</xdr:rowOff>
    </xdr:from>
    <xdr:to>
      <xdr:col>9</xdr:col>
      <xdr:colOff>261257</xdr:colOff>
      <xdr:row>16</xdr:row>
      <xdr:rowOff>157299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BEF54CE-DA07-44F1-87E8-A6D4B9A5B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327659</xdr:colOff>
      <xdr:row>1</xdr:row>
      <xdr:rowOff>121920</xdr:rowOff>
    </xdr:from>
    <xdr:to>
      <xdr:col>17</xdr:col>
      <xdr:colOff>489856</xdr:colOff>
      <xdr:row>17</xdr:row>
      <xdr:rowOff>60960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41C25A7-B619-4D07-B4C0-292D193AA4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121920</xdr:colOff>
      <xdr:row>18</xdr:row>
      <xdr:rowOff>71844</xdr:rowOff>
    </xdr:from>
    <xdr:to>
      <xdr:col>9</xdr:col>
      <xdr:colOff>320040</xdr:colOff>
      <xdr:row>34</xdr:row>
      <xdr:rowOff>38099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EC887B6-228C-4139-A6A0-EEEF5CE08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531810</xdr:colOff>
      <xdr:row>18</xdr:row>
      <xdr:rowOff>38352</xdr:rowOff>
    </xdr:from>
    <xdr:to>
      <xdr:col>17</xdr:col>
      <xdr:colOff>227010</xdr:colOff>
      <xdr:row>33</xdr:row>
      <xdr:rowOff>5694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216691-4C34-4EC0-8061-3CED8C553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609599</xdr:colOff>
      <xdr:row>1</xdr:row>
      <xdr:rowOff>108858</xdr:rowOff>
    </xdr:from>
    <xdr:to>
      <xdr:col>25</xdr:col>
      <xdr:colOff>304799</xdr:colOff>
      <xdr:row>17</xdr:row>
      <xdr:rowOff>76200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8941B084-5E90-4D7F-AF8C-E78AABBA4E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533400</xdr:colOff>
      <xdr:row>18</xdr:row>
      <xdr:rowOff>32657</xdr:rowOff>
    </xdr:from>
    <xdr:to>
      <xdr:col>25</xdr:col>
      <xdr:colOff>228600</xdr:colOff>
      <xdr:row>33</xdr:row>
      <xdr:rowOff>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DCC32BE9-7CF9-47AB-9F17-3FE7C0741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04D5B9C-21DC-4B4A-BE94-CCA6157C44E5}" autoFormatId="16" applyNumberFormats="0" applyBorderFormats="0" applyFontFormats="0" applyPatternFormats="0" applyAlignmentFormats="0" applyWidthHeightFormats="0">
  <queryTableRefresh nextId="24">
    <queryTableFields count="22">
      <queryTableField id="1" name="Hour" tableColumnId="1"/>
      <queryTableField id="2" name="Pin_MPa" tableColumnId="2"/>
      <queryTableField id="3" name="Tin_C" tableColumnId="3"/>
      <queryTableField id="4" name="Target_hour" tableColumnId="4"/>
      <queryTableField id="5" name="Q_fact" tableColumnId="5"/>
      <queryTableField id="6" name="Deviation" tableColumnId="6"/>
      <queryTableField id="7" name="Nst_GPA1" tableColumnId="7"/>
      <queryTableField id="8" name="Nst_GPA2" tableColumnId="8"/>
      <queryTableField id="9" name="Nst_GPA3" tableColumnId="9"/>
      <queryTableField id="10" name="Npol_GPA1" tableColumnId="10"/>
      <queryTableField id="11" name="Npol_GPA2" tableColumnId="11"/>
      <queryTableField id="12" name="Npol_GPA3" tableColumnId="12"/>
      <queryTableField id="13" name="Qprod_GPA1" tableColumnId="13"/>
      <queryTableField id="14" name="Qprod_GPA2" tableColumnId="14"/>
      <queryTableField id="15" name="Qprod_GPA3" tableColumnId="15"/>
      <queryTableField id="16" name="Qprod_total" tableColumnId="16"/>
      <queryTableField id="17" name="q_term" tableColumnId="17"/>
      <queryTableField id="18" name="f_term" tableColumnId="18"/>
      <queryTableField id="19" name="b_term" tableColumnId="19"/>
      <queryTableField id="20" name="constraint_term" tableColumnId="20"/>
      <queryTableField id="21" name="total_cost" tableColumnId="21"/>
      <queryTableField id="22" name="Fuel_total_kg_h" tableColumnId="2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A2C7B33-61D7-4884-8E15-89633DD9090F}" autoFormatId="16" applyNumberFormats="0" applyBorderFormats="0" applyFontFormats="0" applyPatternFormats="0" applyAlignmentFormats="0" applyWidthHeightFormats="0">
  <queryTableRefresh nextId="23">
    <queryTableFields count="22">
      <queryTableField id="1" name="Hour" tableColumnId="1"/>
      <queryTableField id="2" name="Pin_MPa" tableColumnId="2"/>
      <queryTableField id="3" name="Tin_C" tableColumnId="3"/>
      <queryTableField id="4" name="Target_hour" tableColumnId="4"/>
      <queryTableField id="5" name="Q_fact" tableColumnId="5"/>
      <queryTableField id="6" name="Deviation" tableColumnId="6"/>
      <queryTableField id="7" name="Nst_GPA1" tableColumnId="7"/>
      <queryTableField id="8" name="Nst_GPA2" tableColumnId="8"/>
      <queryTableField id="9" name="Nst_GPA3" tableColumnId="9"/>
      <queryTableField id="10" name="Npol_GPA1" tableColumnId="10"/>
      <queryTableField id="11" name="Npol_GPA2" tableColumnId="11"/>
      <queryTableField id="12" name="Npol_GPA3" tableColumnId="12"/>
      <queryTableField id="13" name="Qprod_GPA1" tableColumnId="13"/>
      <queryTableField id="14" name="Qprod_GPA2" tableColumnId="14"/>
      <queryTableField id="15" name="Qprod_GPA3" tableColumnId="15"/>
      <queryTableField id="16" name="Qprod_total" tableColumnId="16"/>
      <queryTableField id="17" name="q_term" tableColumnId="17"/>
      <queryTableField id="18" name="f_term" tableColumnId="18"/>
      <queryTableField id="19" name="b_term" tableColumnId="19"/>
      <queryTableField id="20" name="constraint_term" tableColumnId="20"/>
      <queryTableField id="21" name="total_cost" tableColumnId="21"/>
      <queryTableField id="22" name="Fuel_total_kg_h" tableColumnId="2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60EC3E-1D61-4F5D-987D-64A7E5ED4FAE}" autoFormatId="16" applyNumberFormats="0" applyBorderFormats="0" applyFontFormats="0" applyPatternFormats="0" applyAlignmentFormats="0" applyWidthHeightFormats="0">
  <queryTableRefresh nextId="23">
    <queryTableFields count="22">
      <queryTableField id="1" name="Hour" tableColumnId="1"/>
      <queryTableField id="2" name="Pin_MPa" tableColumnId="2"/>
      <queryTableField id="3" name="Tin_C" tableColumnId="3"/>
      <queryTableField id="4" name="Target_hour" tableColumnId="4"/>
      <queryTableField id="5" name="Q_fact" tableColumnId="5"/>
      <queryTableField id="6" name="Deviation" tableColumnId="6"/>
      <queryTableField id="7" name="Nst_GPA1" tableColumnId="7"/>
      <queryTableField id="8" name="Nst_GPA2" tableColumnId="8"/>
      <queryTableField id="9" name="Nst_GPA3" tableColumnId="9"/>
      <queryTableField id="10" name="Npol_GPA1" tableColumnId="10"/>
      <queryTableField id="11" name="Npol_GPA2" tableColumnId="11"/>
      <queryTableField id="12" name="Npol_GPA3" tableColumnId="12"/>
      <queryTableField id="13" name="Qprod_GPA1" tableColumnId="13"/>
      <queryTableField id="14" name="Qprod_GPA2" tableColumnId="14"/>
      <queryTableField id="15" name="Qprod_GPA3" tableColumnId="15"/>
      <queryTableField id="16" name="Qprod_total" tableColumnId="16"/>
      <queryTableField id="17" name="q_term" tableColumnId="17"/>
      <queryTableField id="18" name="f_term" tableColumnId="18"/>
      <queryTableField id="19" name="b_term" tableColumnId="19"/>
      <queryTableField id="20" name="constraint_term" tableColumnId="20"/>
      <queryTableField id="21" name="total_cost" tableColumnId="21"/>
      <queryTableField id="22" name="Fuel_total_kg_h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9CA5C1-A08E-497A-A978-4BBF221D70C5}" name="simulation_results_PID_2400" displayName="simulation_results_PID_2400" ref="A1:V26" tableType="queryTable" totalsRowCount="1">
  <autoFilter ref="A1:V25" xr:uid="{449CA5C1-A08E-497A-A978-4BBF221D70C5}"/>
  <tableColumns count="22">
    <tableColumn id="1" xr3:uid="{97A74D5C-9B7D-4B25-A492-7DBF0637E7D2}" uniqueName="1" name="Hour" queryTableFieldId="1"/>
    <tableColumn id="2" xr3:uid="{3899888A-7563-4232-B672-173A55DCB59A}" uniqueName="2" name="Pin_MPa" queryTableFieldId="2" dataDxfId="71" totalsRowDxfId="70"/>
    <tableColumn id="3" xr3:uid="{2E8EF70E-81FA-474E-AC51-CDAC1C52BD1F}" uniqueName="3" name="Tin_C" queryTableFieldId="3" dataDxfId="69" totalsRowDxfId="68"/>
    <tableColumn id="4" xr3:uid="{E04DC8D5-D16E-4F01-8578-CC005FA585A5}" uniqueName="4" name="Target_hour" queryTableFieldId="4" dataDxfId="67" totalsRowDxfId="66"/>
    <tableColumn id="5" xr3:uid="{71A0FE16-14B9-400E-9EDF-E70FF86DEB7B}" uniqueName="5" name="Q_fact" queryTableFieldId="5" dataDxfId="65" totalsRowDxfId="64"/>
    <tableColumn id="6" xr3:uid="{918ED926-7E68-4EB4-9814-1A0E9C5D580D}" uniqueName="6" name="Deviation" queryTableFieldId="6" dataDxfId="63" totalsRowDxfId="62"/>
    <tableColumn id="7" xr3:uid="{0E04AF0C-08E0-485F-B81A-64DA8FEE12E0}" uniqueName="7" name="Nst_GPA1" queryTableFieldId="7"/>
    <tableColumn id="8" xr3:uid="{9B6BD002-62FB-435D-A491-C7D4C9540B7F}" uniqueName="8" name="Nst_GPA2" queryTableFieldId="8"/>
    <tableColumn id="9" xr3:uid="{71693BEE-699C-4F1B-B10D-6D4E0E50B5C8}" uniqueName="9" name="Nst_GPA3" queryTableFieldId="9"/>
    <tableColumn id="10" xr3:uid="{5B7A3C7A-0192-4D09-B864-EE247A175048}" uniqueName="10" name="Npol_GPA1" queryTableFieldId="10" dataDxfId="61" totalsRowDxfId="60"/>
    <tableColumn id="11" xr3:uid="{C23C78F2-3DC6-4D89-BCA9-30EEEA5C7FB2}" uniqueName="11" name="Npol_GPA2" queryTableFieldId="11" dataDxfId="59" totalsRowDxfId="58"/>
    <tableColumn id="12" xr3:uid="{2B1FECA5-600B-4F89-AC40-83723853C123}" uniqueName="12" name="Npol_GPA3" queryTableFieldId="12" dataDxfId="57" totalsRowDxfId="56"/>
    <tableColumn id="13" xr3:uid="{873C133F-2F0D-416F-AD79-0BF217515DD5}" uniqueName="13" name="Qprod_GPA1" queryTableFieldId="13" dataDxfId="55" totalsRowDxfId="54"/>
    <tableColumn id="14" xr3:uid="{28F2BF73-C262-4E95-BDCF-90599746FF13}" uniqueName="14" name="Qprod_GPA2" queryTableFieldId="14" dataDxfId="53" totalsRowDxfId="52"/>
    <tableColumn id="15" xr3:uid="{6FFC3129-7C0A-45F3-B7E2-7BE274909F78}" uniqueName="15" name="Qprod_GPA3" queryTableFieldId="15" dataDxfId="51" totalsRowDxfId="50"/>
    <tableColumn id="16" xr3:uid="{FAE73376-4D99-4504-9324-09BA4FAEC793}" uniqueName="16" name="Qprod_total" queryTableFieldId="16" dataDxfId="49" totalsRowDxfId="48"/>
    <tableColumn id="17" xr3:uid="{8A78CA2A-0B84-4F46-B0BE-FF9094D06574}" uniqueName="17" name="q_term" queryTableFieldId="17" dataDxfId="47" totalsRowDxfId="46"/>
    <tableColumn id="18" xr3:uid="{80F8C9CE-A380-4252-97E7-919E47F94EC5}" uniqueName="18" name="f_term" queryTableFieldId="18" dataDxfId="45" totalsRowDxfId="44"/>
    <tableColumn id="19" xr3:uid="{8BB44BD2-5A02-480B-968B-36068669FF18}" uniqueName="19" name="b_term" queryTableFieldId="19" dataDxfId="43" totalsRowDxfId="42"/>
    <tableColumn id="20" xr3:uid="{060BF0BE-1ABE-45D5-851B-DF75BA73426F}" uniqueName="20" name="constraint_term" queryTableFieldId="20" dataDxfId="41" totalsRowDxfId="40"/>
    <tableColumn id="21" xr3:uid="{639CE09C-CBC5-4592-A7EC-A7BE30D8A29A}" uniqueName="21" name="total_cost" queryTableFieldId="21" dataDxfId="39" totalsRowDxfId="38"/>
    <tableColumn id="22" xr3:uid="{FEC74B79-B4C9-476B-8F56-905EEF7CA8F5}" uniqueName="22" name="Fuel_total_kg_h" queryTableFieldId="22" dataDxfId="37" totalsRowDxfId="3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B8B286-70EA-49DF-8007-3B5831DD43D2}" name="simulation_results_PSO_2400" displayName="simulation_results_PSO_2400" ref="A1:V25" tableType="queryTable" totalsRowShown="0">
  <autoFilter ref="A1:V25" xr:uid="{C3B8B286-70EA-49DF-8007-3B5831DD43D2}"/>
  <tableColumns count="22">
    <tableColumn id="1" xr3:uid="{32CC99A2-6E73-4791-BAE5-18A55FC88F70}" uniqueName="1" name="Hour" queryTableFieldId="1"/>
    <tableColumn id="2" xr3:uid="{DFEB47CD-EC33-4E41-B1C5-EC5DED8F2E59}" uniqueName="2" name="Pin_MPa" queryTableFieldId="2" dataDxfId="35"/>
    <tableColumn id="3" xr3:uid="{910A056A-E2D7-493D-97F5-8D9838F05548}" uniqueName="3" name="Tin_C" queryTableFieldId="3" dataDxfId="34"/>
    <tableColumn id="4" xr3:uid="{52668C17-A4BF-485C-B6A7-732862A63E35}" uniqueName="4" name="Target_hour" queryTableFieldId="4" dataDxfId="33"/>
    <tableColumn id="5" xr3:uid="{5604DABA-A125-4A89-9D6F-62821D686F62}" uniqueName="5" name="Q_fact" queryTableFieldId="5" dataDxfId="32"/>
    <tableColumn id="6" xr3:uid="{B57385A2-17F2-4E2E-B085-9A8C070C3E1C}" uniqueName="6" name="Deviation" queryTableFieldId="6" dataDxfId="31"/>
    <tableColumn id="7" xr3:uid="{55107E1B-7B97-4E19-86E9-6A7A2A13C8D8}" uniqueName="7" name="Nst_GPA1" queryTableFieldId="7"/>
    <tableColumn id="8" xr3:uid="{A2970891-AF97-4713-9A15-B8BD545F0A6D}" uniqueName="8" name="Nst_GPA2" queryTableFieldId="8"/>
    <tableColumn id="9" xr3:uid="{7F46A97D-7C25-43B8-BAAE-CB4393F051ED}" uniqueName="9" name="Nst_GPA3" queryTableFieldId="9"/>
    <tableColumn id="10" xr3:uid="{3A7C1795-5FC2-45AE-97FC-525DE767E18F}" uniqueName="10" name="Npol_GPA1" queryTableFieldId="10" dataDxfId="30"/>
    <tableColumn id="11" xr3:uid="{79F2788C-5E41-4495-81C2-806406DDED05}" uniqueName="11" name="Npol_GPA2" queryTableFieldId="11" dataDxfId="29"/>
    <tableColumn id="12" xr3:uid="{CF9A0C7F-E892-4F59-B3AD-248A8521EDF6}" uniqueName="12" name="Npol_GPA3" queryTableFieldId="12" dataDxfId="28"/>
    <tableColumn id="13" xr3:uid="{6C032A27-0AC2-453C-819E-92503881A8F0}" uniqueName="13" name="Qprod_GPA1" queryTableFieldId="13" dataDxfId="27"/>
    <tableColumn id="14" xr3:uid="{9863D256-D681-48EA-A28D-645FDADADFA5}" uniqueName="14" name="Qprod_GPA2" queryTableFieldId="14" dataDxfId="26"/>
    <tableColumn id="15" xr3:uid="{9A744D0D-4F03-431B-ACF9-7182FFF33650}" uniqueName="15" name="Qprod_GPA3" queryTableFieldId="15" dataDxfId="25"/>
    <tableColumn id="16" xr3:uid="{020BD8E8-D9F3-4E65-A8D1-8E05449380F4}" uniqueName="16" name="Qprod_total" queryTableFieldId="16" dataDxfId="24"/>
    <tableColumn id="17" xr3:uid="{341A87A1-3AD0-4D2C-BE4E-A4C24AF955D1}" uniqueName="17" name="q_term" queryTableFieldId="17" dataDxfId="23"/>
    <tableColumn id="18" xr3:uid="{A24E6B39-3E89-4CDC-8249-E5D3E844720B}" uniqueName="18" name="f_term" queryTableFieldId="18" dataDxfId="22"/>
    <tableColumn id="19" xr3:uid="{EE622B23-5801-417D-AD54-5E12969F51DF}" uniqueName="19" name="b_term" queryTableFieldId="19" dataDxfId="21"/>
    <tableColumn id="20" xr3:uid="{FF709696-82F2-4CD8-A80F-C9726FB0EAF2}" uniqueName="20" name="constraint_term" queryTableFieldId="20" dataDxfId="20"/>
    <tableColumn id="21" xr3:uid="{E79FD534-EA29-4997-AAB5-BE4878980AD5}" uniqueName="21" name="total_cost" queryTableFieldId="21" dataDxfId="19"/>
    <tableColumn id="22" xr3:uid="{B78BF534-24B6-4C9C-8648-5932837875DE}" uniqueName="22" name="Fuel_total_kg_h" queryTableFieldId="22" dataDxf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1BEC55-8BAF-4666-8F44-5EFB61E377A8}" name="simulation_results_GWO_2400" displayName="simulation_results_GWO_2400" ref="A1:V25" tableType="queryTable" totalsRowShown="0">
  <autoFilter ref="A1:V25" xr:uid="{821BEC55-8BAF-4666-8F44-5EFB61E377A8}"/>
  <tableColumns count="22">
    <tableColumn id="1" xr3:uid="{0F57519E-B23C-4222-8709-E0158FFF1037}" uniqueName="1" name="Hour" queryTableFieldId="1"/>
    <tableColumn id="2" xr3:uid="{CA3CD5A2-004E-424C-A8B3-8511F8ACDE1F}" uniqueName="2" name="Pin_MPa" queryTableFieldId="2" dataDxfId="17"/>
    <tableColumn id="3" xr3:uid="{BBE127A8-B78F-4642-84ED-BA2757F4CD10}" uniqueName="3" name="Tin_C" queryTableFieldId="3" dataDxfId="16"/>
    <tableColumn id="4" xr3:uid="{FA8BDCAA-57CF-4912-B5E4-912E8B9E45ED}" uniqueName="4" name="Target_hour" queryTableFieldId="4" dataDxfId="15"/>
    <tableColumn id="5" xr3:uid="{95E01959-D61C-435A-ADB1-C038B217596D}" uniqueName="5" name="Q_fact" queryTableFieldId="5" dataDxfId="14"/>
    <tableColumn id="6" xr3:uid="{2363F975-A528-4598-8723-21D5F718402E}" uniqueName="6" name="Deviation" queryTableFieldId="6" dataDxfId="13"/>
    <tableColumn id="7" xr3:uid="{C7B3A811-1925-49E5-9197-36AD92AADA8B}" uniqueName="7" name="Nst_GPA1" queryTableFieldId="7"/>
    <tableColumn id="8" xr3:uid="{2FF03308-0ECC-4E51-A387-05347264BFA3}" uniqueName="8" name="Nst_GPA2" queryTableFieldId="8"/>
    <tableColumn id="9" xr3:uid="{A3A1FA32-DEDA-42E1-B150-C0F21487BE32}" uniqueName="9" name="Nst_GPA3" queryTableFieldId="9"/>
    <tableColumn id="10" xr3:uid="{C3576D2D-E559-4A57-805C-FC59307C4DA8}" uniqueName="10" name="Npol_GPA1" queryTableFieldId="10" dataDxfId="12"/>
    <tableColumn id="11" xr3:uid="{CDCC1186-572C-480B-B77A-47BDCD1E72F1}" uniqueName="11" name="Npol_GPA2" queryTableFieldId="11" dataDxfId="11"/>
    <tableColumn id="12" xr3:uid="{4EFBE1F4-E569-4058-A261-F94FD69C9720}" uniqueName="12" name="Npol_GPA3" queryTableFieldId="12" dataDxfId="10"/>
    <tableColumn id="13" xr3:uid="{687B82EA-DF4F-4F72-A397-F15998F54882}" uniqueName="13" name="Qprod_GPA1" queryTableFieldId="13" dataDxfId="9"/>
    <tableColumn id="14" xr3:uid="{D6B5A9A7-525B-4BF4-A5E4-E55D973ECA27}" uniqueName="14" name="Qprod_GPA2" queryTableFieldId="14" dataDxfId="8"/>
    <tableColumn id="15" xr3:uid="{C12172C1-199A-4768-A1CD-93CC61D1C5AB}" uniqueName="15" name="Qprod_GPA3" queryTableFieldId="15" dataDxfId="7"/>
    <tableColumn id="16" xr3:uid="{09663DAF-BFF6-45CA-94AA-431F70FFA052}" uniqueName="16" name="Qprod_total" queryTableFieldId="16" dataDxfId="6"/>
    <tableColumn id="17" xr3:uid="{F484B004-BF78-40A0-88DB-B9E248D86D42}" uniqueName="17" name="q_term" queryTableFieldId="17" dataDxfId="5"/>
    <tableColumn id="18" xr3:uid="{6AD544AD-D3B1-4FBB-8F6A-C72C3D9344FC}" uniqueName="18" name="f_term" queryTableFieldId="18" dataDxfId="4"/>
    <tableColumn id="19" xr3:uid="{3BD48794-E32B-4F91-8AAD-292A34960FB8}" uniqueName="19" name="b_term" queryTableFieldId="19" dataDxfId="3"/>
    <tableColumn id="20" xr3:uid="{8DC884BB-C9AE-4D6F-827C-67A1E23C23A8}" uniqueName="20" name="constraint_term" queryTableFieldId="20" dataDxfId="2"/>
    <tableColumn id="21" xr3:uid="{41308FFC-39E8-406A-90E1-794D4AB6EFC7}" uniqueName="21" name="total_cost" queryTableFieldId="21" dataDxfId="1"/>
    <tableColumn id="22" xr3:uid="{5A15A955-B6E6-40A2-9466-4D34A4F07F7F}" uniqueName="22" name="Fuel_total_kg_h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ADBA-89D6-41B9-BBE7-A2888A63C0E0}">
  <dimension ref="A1:V28"/>
  <sheetViews>
    <sheetView zoomScale="55" zoomScaleNormal="55" workbookViewId="0">
      <selection activeCell="G55" sqref="G54:H55"/>
    </sheetView>
  </sheetViews>
  <sheetFormatPr defaultRowHeight="14.4" x14ac:dyDescent="0.3"/>
  <cols>
    <col min="1" max="1" width="8.5546875" bestFit="1" customWidth="1"/>
    <col min="2" max="2" width="11.6640625" bestFit="1" customWidth="1"/>
    <col min="3" max="3" width="8.88671875" bestFit="1" customWidth="1"/>
    <col min="4" max="4" width="14.88671875" bestFit="1" customWidth="1"/>
    <col min="5" max="5" width="9.77734375" bestFit="1" customWidth="1"/>
    <col min="6" max="6" width="12.44140625" bestFit="1" customWidth="1"/>
    <col min="7" max="9" width="13" bestFit="1" customWidth="1"/>
    <col min="10" max="12" width="14.109375" bestFit="1" customWidth="1"/>
    <col min="13" max="15" width="15.5546875" bestFit="1" customWidth="1"/>
    <col min="16" max="16" width="14.88671875" bestFit="1" customWidth="1"/>
    <col min="17" max="17" width="11.5546875" bestFit="1" customWidth="1"/>
    <col min="18" max="18" width="10.21875" bestFit="1" customWidth="1"/>
    <col min="19" max="19" width="10.77734375" bestFit="1" customWidth="1"/>
    <col min="20" max="20" width="18.5546875" bestFit="1" customWidth="1"/>
    <col min="21" max="21" width="12.77734375" bestFit="1" customWidth="1"/>
    <col min="22" max="22" width="18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0</v>
      </c>
      <c r="B2" s="1">
        <v>5.22</v>
      </c>
      <c r="C2" s="1">
        <v>22</v>
      </c>
      <c r="D2" s="1">
        <v>100</v>
      </c>
      <c r="E2" s="1">
        <v>49.24</v>
      </c>
      <c r="F2" s="3">
        <v>-2350.7600000000002</v>
      </c>
      <c r="G2">
        <v>4741</v>
      </c>
      <c r="H2">
        <v>4879</v>
      </c>
      <c r="I2">
        <v>4679</v>
      </c>
      <c r="J2" s="1">
        <v>1.242</v>
      </c>
      <c r="K2" s="1">
        <v>1.2529999999999999</v>
      </c>
      <c r="L2" s="1">
        <v>1.2509999999999999</v>
      </c>
      <c r="M2" s="1">
        <v>16.68</v>
      </c>
      <c r="N2" s="1">
        <v>16.48</v>
      </c>
      <c r="O2" s="1">
        <v>16.09</v>
      </c>
      <c r="P2" s="1">
        <v>49.24</v>
      </c>
      <c r="Q2" s="1">
        <v>1288341.1499999999</v>
      </c>
      <c r="R2" s="1">
        <v>16.66</v>
      </c>
      <c r="S2" s="1">
        <v>0.9</v>
      </c>
      <c r="T2" s="1">
        <v>0</v>
      </c>
      <c r="U2" s="1">
        <v>1288358.71</v>
      </c>
      <c r="V2" s="1">
        <v>16.66</v>
      </c>
    </row>
    <row r="3" spans="1:22" x14ac:dyDescent="0.3">
      <c r="A3">
        <v>1</v>
      </c>
      <c r="B3" s="1">
        <v>5.2149999999999999</v>
      </c>
      <c r="C3" s="1">
        <v>22</v>
      </c>
      <c r="D3" s="1">
        <v>102.21</v>
      </c>
      <c r="E3" s="1">
        <v>58.79</v>
      </c>
      <c r="F3" s="3">
        <v>-2291.9699999999998</v>
      </c>
      <c r="G3">
        <v>4989</v>
      </c>
      <c r="H3">
        <v>5155</v>
      </c>
      <c r="I3">
        <v>4955</v>
      </c>
      <c r="J3" s="1">
        <v>1.2549999999999999</v>
      </c>
      <c r="K3" s="1">
        <v>1.268</v>
      </c>
      <c r="L3" s="1">
        <v>1.266</v>
      </c>
      <c r="M3" s="1">
        <v>20.11</v>
      </c>
      <c r="N3" s="1">
        <v>19.489999999999998</v>
      </c>
      <c r="O3" s="1">
        <v>19.190000000000001</v>
      </c>
      <c r="P3" s="1">
        <v>58.79</v>
      </c>
      <c r="Q3" s="1">
        <v>942331.24</v>
      </c>
      <c r="R3" s="1">
        <v>18.29</v>
      </c>
      <c r="S3" s="1">
        <v>2.21</v>
      </c>
      <c r="T3" s="1">
        <v>0</v>
      </c>
      <c r="U3" s="1">
        <v>942351.74</v>
      </c>
      <c r="V3" s="1">
        <v>18.29</v>
      </c>
    </row>
    <row r="4" spans="1:22" x14ac:dyDescent="0.3">
      <c r="A4">
        <v>2</v>
      </c>
      <c r="B4" s="1">
        <v>5.306</v>
      </c>
      <c r="C4" s="1">
        <v>22</v>
      </c>
      <c r="D4" s="1">
        <v>104.18</v>
      </c>
      <c r="E4" s="1">
        <v>68.31</v>
      </c>
      <c r="F4" s="3">
        <v>-2223.66</v>
      </c>
      <c r="G4">
        <v>5237</v>
      </c>
      <c r="H4">
        <v>5431</v>
      </c>
      <c r="I4">
        <v>5231</v>
      </c>
      <c r="J4" s="1">
        <v>1.2669999999999999</v>
      </c>
      <c r="K4" s="1">
        <v>1.2789999999999999</v>
      </c>
      <c r="L4" s="1">
        <v>1.2789999999999999</v>
      </c>
      <c r="M4" s="1">
        <v>23.31</v>
      </c>
      <c r="N4" s="1">
        <v>22.59</v>
      </c>
      <c r="O4" s="1">
        <v>22.41</v>
      </c>
      <c r="P4" s="1">
        <v>68.31</v>
      </c>
      <c r="Q4" s="1">
        <v>643292.49</v>
      </c>
      <c r="R4" s="1">
        <v>20.23</v>
      </c>
      <c r="S4" s="1">
        <v>2.29</v>
      </c>
      <c r="T4" s="1">
        <v>0</v>
      </c>
      <c r="U4" s="1">
        <v>643315.01</v>
      </c>
      <c r="V4" s="1">
        <v>20.23</v>
      </c>
    </row>
    <row r="5" spans="1:22" x14ac:dyDescent="0.3">
      <c r="A5">
        <v>3</v>
      </c>
      <c r="B5" s="1">
        <v>5.4370000000000003</v>
      </c>
      <c r="C5" s="1">
        <v>22</v>
      </c>
      <c r="D5" s="1">
        <v>105.89</v>
      </c>
      <c r="E5" s="1">
        <v>77.819999999999993</v>
      </c>
      <c r="F5" s="3">
        <v>-2145.83</v>
      </c>
      <c r="G5">
        <v>5485</v>
      </c>
      <c r="H5">
        <v>5707</v>
      </c>
      <c r="I5">
        <v>5507</v>
      </c>
      <c r="J5" s="1">
        <v>1.278</v>
      </c>
      <c r="K5" s="1">
        <v>1.288</v>
      </c>
      <c r="L5" s="1">
        <v>1.288</v>
      </c>
      <c r="M5" s="1">
        <v>26.6</v>
      </c>
      <c r="N5" s="1">
        <v>25.65</v>
      </c>
      <c r="O5" s="1">
        <v>25.57</v>
      </c>
      <c r="P5" s="1">
        <v>77.819999999999993</v>
      </c>
      <c r="Q5" s="1">
        <v>393805.46</v>
      </c>
      <c r="R5" s="1">
        <v>22.48</v>
      </c>
      <c r="S5" s="1">
        <v>3.31</v>
      </c>
      <c r="T5" s="1">
        <v>0</v>
      </c>
      <c r="U5" s="1">
        <v>393831.24</v>
      </c>
      <c r="V5" s="1">
        <v>22.48</v>
      </c>
    </row>
    <row r="6" spans="1:22" x14ac:dyDescent="0.3">
      <c r="A6">
        <v>4</v>
      </c>
      <c r="B6" s="1">
        <v>5.4909999999999997</v>
      </c>
      <c r="C6" s="1">
        <v>22</v>
      </c>
      <c r="D6" s="1">
        <v>107.29</v>
      </c>
      <c r="E6" s="1">
        <v>86.89</v>
      </c>
      <c r="F6" s="3">
        <v>-2058.94</v>
      </c>
      <c r="G6">
        <v>5733</v>
      </c>
      <c r="H6">
        <v>5983</v>
      </c>
      <c r="I6">
        <v>5783</v>
      </c>
      <c r="J6" s="1">
        <v>1.286</v>
      </c>
      <c r="K6" s="1">
        <v>1.2929999999999999</v>
      </c>
      <c r="L6" s="1">
        <v>1.294</v>
      </c>
      <c r="M6" s="1">
        <v>29.87</v>
      </c>
      <c r="N6" s="1">
        <v>28.5</v>
      </c>
      <c r="O6" s="1">
        <v>28.53</v>
      </c>
      <c r="P6" s="1">
        <v>86.89</v>
      </c>
      <c r="Q6" s="1">
        <v>208079.24</v>
      </c>
      <c r="R6" s="1">
        <v>25.15</v>
      </c>
      <c r="S6" s="1">
        <v>6.12</v>
      </c>
      <c r="T6" s="1">
        <v>0</v>
      </c>
      <c r="U6" s="1">
        <v>208110.5</v>
      </c>
      <c r="V6" s="1">
        <v>25.15</v>
      </c>
    </row>
    <row r="7" spans="1:22" x14ac:dyDescent="0.3">
      <c r="A7">
        <v>5</v>
      </c>
      <c r="B7" s="1">
        <v>5.6349999999999998</v>
      </c>
      <c r="C7" s="1">
        <v>22</v>
      </c>
      <c r="D7" s="1">
        <v>108.37</v>
      </c>
      <c r="E7" s="1">
        <v>95.13</v>
      </c>
      <c r="F7" s="3">
        <v>-1963.81</v>
      </c>
      <c r="G7">
        <v>5981</v>
      </c>
      <c r="H7">
        <v>6259</v>
      </c>
      <c r="I7">
        <v>6059</v>
      </c>
      <c r="J7" s="1">
        <v>1.292</v>
      </c>
      <c r="K7" s="1">
        <v>1.296</v>
      </c>
      <c r="L7" s="1">
        <v>1.296</v>
      </c>
      <c r="M7" s="1">
        <v>32.97</v>
      </c>
      <c r="N7" s="1">
        <v>31.03</v>
      </c>
      <c r="O7" s="1">
        <v>31.13</v>
      </c>
      <c r="P7" s="1">
        <v>95.13</v>
      </c>
      <c r="Q7" s="1">
        <v>87551.4</v>
      </c>
      <c r="R7" s="1">
        <v>28.39</v>
      </c>
      <c r="S7" s="1">
        <v>11.98</v>
      </c>
      <c r="T7" s="1">
        <v>0</v>
      </c>
      <c r="U7" s="1">
        <v>87591.77</v>
      </c>
      <c r="V7" s="1">
        <v>28.39</v>
      </c>
    </row>
    <row r="8" spans="1:22" x14ac:dyDescent="0.3">
      <c r="A8">
        <v>6</v>
      </c>
      <c r="B8" s="1">
        <v>5.8630000000000004</v>
      </c>
      <c r="C8" s="1">
        <v>22</v>
      </c>
      <c r="D8" s="1">
        <v>109.1</v>
      </c>
      <c r="E8" s="1">
        <v>101.38</v>
      </c>
      <c r="F8" s="3">
        <v>-1862.43</v>
      </c>
      <c r="G8">
        <v>6195</v>
      </c>
      <c r="H8">
        <v>6498</v>
      </c>
      <c r="I8">
        <v>6298</v>
      </c>
      <c r="J8" s="1">
        <v>1.2949999999999999</v>
      </c>
      <c r="K8" s="1">
        <v>1.296</v>
      </c>
      <c r="L8" s="1">
        <v>1.296</v>
      </c>
      <c r="M8" s="1">
        <v>35.44</v>
      </c>
      <c r="N8" s="1">
        <v>32.89</v>
      </c>
      <c r="O8" s="1">
        <v>33.04</v>
      </c>
      <c r="P8" s="1">
        <v>101.38</v>
      </c>
      <c r="Q8" s="1">
        <v>29822.75</v>
      </c>
      <c r="R8" s="1">
        <v>31.79</v>
      </c>
      <c r="S8" s="1">
        <v>20.48</v>
      </c>
      <c r="T8" s="1">
        <v>0</v>
      </c>
      <c r="U8" s="1">
        <v>29875.02</v>
      </c>
      <c r="V8" s="1">
        <v>31.79</v>
      </c>
    </row>
    <row r="9" spans="1:22" x14ac:dyDescent="0.3">
      <c r="A9">
        <v>7</v>
      </c>
      <c r="B9" s="1">
        <v>5.9859999999999998</v>
      </c>
      <c r="C9" s="1">
        <v>22</v>
      </c>
      <c r="D9" s="1">
        <v>109.55</v>
      </c>
      <c r="E9" s="1">
        <v>104.64</v>
      </c>
      <c r="F9" s="3">
        <v>-1757.79</v>
      </c>
      <c r="G9">
        <v>6321</v>
      </c>
      <c r="H9">
        <v>6638</v>
      </c>
      <c r="I9">
        <v>6438</v>
      </c>
      <c r="J9" s="1">
        <v>1.296</v>
      </c>
      <c r="K9" s="1">
        <v>1.2949999999999999</v>
      </c>
      <c r="L9" s="1">
        <v>1.2949999999999999</v>
      </c>
      <c r="M9" s="1">
        <v>36.78</v>
      </c>
      <c r="N9" s="1">
        <v>33.85</v>
      </c>
      <c r="O9" s="1">
        <v>34.01</v>
      </c>
      <c r="P9" s="1">
        <v>104.64</v>
      </c>
      <c r="Q9" s="1">
        <v>12072.02</v>
      </c>
      <c r="R9" s="1">
        <v>34.119999999999997</v>
      </c>
      <c r="S9" s="1">
        <v>27.16</v>
      </c>
      <c r="T9" s="1">
        <v>0</v>
      </c>
      <c r="U9" s="1">
        <v>12133.31</v>
      </c>
      <c r="V9" s="1">
        <v>34.119999999999997</v>
      </c>
    </row>
    <row r="10" spans="1:22" x14ac:dyDescent="0.3">
      <c r="A10">
        <v>8</v>
      </c>
      <c r="B10" s="1">
        <v>6.0810000000000004</v>
      </c>
      <c r="C10" s="1">
        <v>22</v>
      </c>
      <c r="D10" s="1">
        <v>109.86</v>
      </c>
      <c r="E10" s="1">
        <v>106.6</v>
      </c>
      <c r="F10" s="3">
        <v>-1651.19</v>
      </c>
      <c r="G10">
        <v>6403</v>
      </c>
      <c r="H10">
        <v>6729</v>
      </c>
      <c r="I10">
        <v>6529</v>
      </c>
      <c r="J10" s="1">
        <v>1.296</v>
      </c>
      <c r="K10" s="1">
        <v>1.294</v>
      </c>
      <c r="L10" s="1">
        <v>1.294</v>
      </c>
      <c r="M10" s="1">
        <v>37.6</v>
      </c>
      <c r="N10" s="1">
        <v>34.409999999999997</v>
      </c>
      <c r="O10" s="1">
        <v>34.58</v>
      </c>
      <c r="P10" s="1">
        <v>106.6</v>
      </c>
      <c r="Q10" s="1">
        <v>5320.76</v>
      </c>
      <c r="R10" s="1">
        <v>35.81</v>
      </c>
      <c r="S10" s="1">
        <v>32.17</v>
      </c>
      <c r="T10" s="1">
        <v>0</v>
      </c>
      <c r="U10" s="1">
        <v>5388.73</v>
      </c>
      <c r="V10" s="1">
        <v>35.81</v>
      </c>
    </row>
    <row r="11" spans="1:22" x14ac:dyDescent="0.3">
      <c r="A11">
        <v>9</v>
      </c>
      <c r="B11" s="1">
        <v>6.2460000000000004</v>
      </c>
      <c r="C11" s="1">
        <v>22</v>
      </c>
      <c r="D11" s="1">
        <v>110.08</v>
      </c>
      <c r="E11" s="1">
        <v>107.86</v>
      </c>
      <c r="F11" s="3">
        <v>-1543.33</v>
      </c>
      <c r="G11">
        <v>6459</v>
      </c>
      <c r="H11">
        <v>6791</v>
      </c>
      <c r="I11">
        <v>6591</v>
      </c>
      <c r="J11" s="1">
        <v>1.296</v>
      </c>
      <c r="K11" s="1">
        <v>1.294</v>
      </c>
      <c r="L11" s="1">
        <v>1.2929999999999999</v>
      </c>
      <c r="M11" s="1">
        <v>38.14</v>
      </c>
      <c r="N11" s="1">
        <v>34.770000000000003</v>
      </c>
      <c r="O11" s="1">
        <v>34.950000000000003</v>
      </c>
      <c r="P11" s="1">
        <v>107.86</v>
      </c>
      <c r="Q11" s="1">
        <v>2459.25</v>
      </c>
      <c r="R11" s="1">
        <v>37.03</v>
      </c>
      <c r="S11" s="1">
        <v>35.86</v>
      </c>
      <c r="T11" s="1">
        <v>0</v>
      </c>
      <c r="U11" s="1">
        <v>2532.14</v>
      </c>
      <c r="V11" s="1">
        <v>37.03</v>
      </c>
    </row>
    <row r="12" spans="1:22" x14ac:dyDescent="0.3">
      <c r="A12">
        <v>10</v>
      </c>
      <c r="B12" s="1">
        <v>6.3010000000000002</v>
      </c>
      <c r="C12" s="1">
        <v>22</v>
      </c>
      <c r="D12" s="1">
        <v>110.24</v>
      </c>
      <c r="E12" s="1">
        <v>108.71</v>
      </c>
      <c r="F12" s="3">
        <v>-1434.61</v>
      </c>
      <c r="G12">
        <v>6498</v>
      </c>
      <c r="H12">
        <v>6835</v>
      </c>
      <c r="I12">
        <v>6635</v>
      </c>
      <c r="J12" s="1">
        <v>1.296</v>
      </c>
      <c r="K12" s="1">
        <v>1.2929999999999999</v>
      </c>
      <c r="L12" s="1">
        <v>1.2929999999999999</v>
      </c>
      <c r="M12" s="1">
        <v>38.5</v>
      </c>
      <c r="N12" s="1">
        <v>35.020000000000003</v>
      </c>
      <c r="O12" s="1">
        <v>35.19</v>
      </c>
      <c r="P12" s="1">
        <v>108.71</v>
      </c>
      <c r="Q12" s="1">
        <v>1160.6300000000001</v>
      </c>
      <c r="R12" s="1">
        <v>37.94</v>
      </c>
      <c r="S12" s="1">
        <v>38.58</v>
      </c>
      <c r="T12" s="1">
        <v>0</v>
      </c>
      <c r="U12" s="1">
        <v>1237.1500000000001</v>
      </c>
      <c r="V12" s="1">
        <v>37.94</v>
      </c>
    </row>
    <row r="13" spans="1:22" x14ac:dyDescent="0.3">
      <c r="A13">
        <v>11</v>
      </c>
      <c r="B13" s="1">
        <v>6.3609999999999998</v>
      </c>
      <c r="C13" s="1">
        <v>22</v>
      </c>
      <c r="D13" s="1">
        <v>110.35</v>
      </c>
      <c r="E13" s="1">
        <v>109.31</v>
      </c>
      <c r="F13" s="3">
        <v>-1325.3</v>
      </c>
      <c r="G13">
        <v>6526</v>
      </c>
      <c r="H13">
        <v>6866</v>
      </c>
      <c r="I13">
        <v>6666</v>
      </c>
      <c r="J13" s="1">
        <v>1.296</v>
      </c>
      <c r="K13" s="1">
        <v>1.2929999999999999</v>
      </c>
      <c r="L13" s="1">
        <v>1.292</v>
      </c>
      <c r="M13" s="1">
        <v>38.76</v>
      </c>
      <c r="N13" s="1">
        <v>35.19</v>
      </c>
      <c r="O13" s="1">
        <v>35.36</v>
      </c>
      <c r="P13" s="1">
        <v>109.31</v>
      </c>
      <c r="Q13" s="1">
        <v>546.65</v>
      </c>
      <c r="R13" s="1">
        <v>38.619999999999997</v>
      </c>
      <c r="S13" s="1">
        <v>40.590000000000003</v>
      </c>
      <c r="T13" s="1">
        <v>0</v>
      </c>
      <c r="U13" s="1">
        <v>625.86</v>
      </c>
      <c r="V13" s="1">
        <v>38.619999999999997</v>
      </c>
    </row>
    <row r="14" spans="1:22" x14ac:dyDescent="0.3">
      <c r="A14">
        <v>12</v>
      </c>
      <c r="B14" s="1">
        <v>6.41</v>
      </c>
      <c r="C14" s="1">
        <v>22</v>
      </c>
      <c r="D14" s="1">
        <v>110.44</v>
      </c>
      <c r="E14" s="1">
        <v>109.73</v>
      </c>
      <c r="F14" s="3">
        <v>-1215.57</v>
      </c>
      <c r="G14">
        <v>6547</v>
      </c>
      <c r="H14">
        <v>6889</v>
      </c>
      <c r="I14">
        <v>6689</v>
      </c>
      <c r="J14" s="1">
        <v>1.296</v>
      </c>
      <c r="K14" s="1">
        <v>1.292</v>
      </c>
      <c r="L14" s="1">
        <v>1.292</v>
      </c>
      <c r="M14" s="1">
        <v>38.94</v>
      </c>
      <c r="N14" s="1">
        <v>35.31</v>
      </c>
      <c r="O14" s="1">
        <v>35.479999999999997</v>
      </c>
      <c r="P14" s="1">
        <v>109.73</v>
      </c>
      <c r="Q14" s="1">
        <v>250.53</v>
      </c>
      <c r="R14" s="1">
        <v>39.130000000000003</v>
      </c>
      <c r="S14" s="1">
        <v>42.09</v>
      </c>
      <c r="T14" s="1">
        <v>0</v>
      </c>
      <c r="U14" s="1">
        <v>331.75</v>
      </c>
      <c r="V14" s="1">
        <v>39.130000000000003</v>
      </c>
    </row>
    <row r="15" spans="1:22" x14ac:dyDescent="0.3">
      <c r="A15">
        <v>13</v>
      </c>
      <c r="B15" s="1">
        <v>6.3029999999999999</v>
      </c>
      <c r="C15" s="1">
        <v>22</v>
      </c>
      <c r="D15" s="1">
        <v>110.51</v>
      </c>
      <c r="E15" s="1">
        <v>110.04</v>
      </c>
      <c r="F15" s="3">
        <v>-1105.53</v>
      </c>
      <c r="G15">
        <v>6562</v>
      </c>
      <c r="H15">
        <v>6906</v>
      </c>
      <c r="I15">
        <v>6706</v>
      </c>
      <c r="J15" s="1">
        <v>1.296</v>
      </c>
      <c r="K15" s="1">
        <v>1.292</v>
      </c>
      <c r="L15" s="1">
        <v>1.292</v>
      </c>
      <c r="M15" s="1">
        <v>39.08</v>
      </c>
      <c r="N15" s="1">
        <v>35.39</v>
      </c>
      <c r="O15" s="1">
        <v>35.57</v>
      </c>
      <c r="P15" s="1">
        <v>110.04</v>
      </c>
      <c r="Q15" s="1">
        <v>107.78</v>
      </c>
      <c r="R15" s="1">
        <v>39.51</v>
      </c>
      <c r="S15" s="1">
        <v>43.21</v>
      </c>
      <c r="T15" s="1">
        <v>0</v>
      </c>
      <c r="U15" s="1">
        <v>190.5</v>
      </c>
      <c r="V15" s="1">
        <v>39.51</v>
      </c>
    </row>
    <row r="16" spans="1:22" x14ac:dyDescent="0.3">
      <c r="A16">
        <v>14</v>
      </c>
      <c r="B16" s="1">
        <v>6.2510000000000003</v>
      </c>
      <c r="C16" s="1">
        <v>22</v>
      </c>
      <c r="D16" s="1">
        <v>110.55</v>
      </c>
      <c r="E16" s="1">
        <v>110.27</v>
      </c>
      <c r="F16" s="3">
        <v>-995.26</v>
      </c>
      <c r="G16">
        <v>6573</v>
      </c>
      <c r="H16">
        <v>6919</v>
      </c>
      <c r="I16">
        <v>6719</v>
      </c>
      <c r="J16" s="1">
        <v>1.296</v>
      </c>
      <c r="K16" s="1">
        <v>1.292</v>
      </c>
      <c r="L16" s="1">
        <v>1.2909999999999999</v>
      </c>
      <c r="M16" s="1">
        <v>39.18</v>
      </c>
      <c r="N16" s="1">
        <v>35.46</v>
      </c>
      <c r="O16" s="1">
        <v>35.630000000000003</v>
      </c>
      <c r="P16" s="1">
        <v>110.27</v>
      </c>
      <c r="Q16" s="1">
        <v>40.770000000000003</v>
      </c>
      <c r="R16" s="1">
        <v>39.79</v>
      </c>
      <c r="S16" s="1">
        <v>44.05</v>
      </c>
      <c r="T16" s="1">
        <v>0</v>
      </c>
      <c r="U16" s="1">
        <v>124.61</v>
      </c>
      <c r="V16" s="1">
        <v>39.79</v>
      </c>
    </row>
    <row r="17" spans="1:22" x14ac:dyDescent="0.3">
      <c r="A17">
        <v>15</v>
      </c>
      <c r="B17" s="1">
        <v>6.202</v>
      </c>
      <c r="C17" s="1">
        <v>22</v>
      </c>
      <c r="D17" s="1">
        <v>110.58</v>
      </c>
      <c r="E17" s="1">
        <v>110.43</v>
      </c>
      <c r="F17" s="3">
        <v>-884.83</v>
      </c>
      <c r="G17">
        <v>6582</v>
      </c>
      <c r="H17">
        <v>6928</v>
      </c>
      <c r="I17">
        <v>6728</v>
      </c>
      <c r="J17" s="1">
        <v>1.296</v>
      </c>
      <c r="K17" s="1">
        <v>1.292</v>
      </c>
      <c r="L17" s="1">
        <v>1.2909999999999999</v>
      </c>
      <c r="M17" s="1">
        <v>39.25</v>
      </c>
      <c r="N17" s="1">
        <v>35.5</v>
      </c>
      <c r="O17" s="1">
        <v>35.68</v>
      </c>
      <c r="P17" s="1">
        <v>110.43</v>
      </c>
      <c r="Q17" s="1">
        <v>11.6</v>
      </c>
      <c r="R17" s="1">
        <v>40.01</v>
      </c>
      <c r="S17" s="1">
        <v>44.67</v>
      </c>
      <c r="T17" s="1">
        <v>0</v>
      </c>
      <c r="U17" s="1">
        <v>96.27</v>
      </c>
      <c r="V17" s="1">
        <v>40.01</v>
      </c>
    </row>
    <row r="18" spans="1:22" x14ac:dyDescent="0.3">
      <c r="A18">
        <v>16</v>
      </c>
      <c r="B18" s="1">
        <v>6.0590000000000002</v>
      </c>
      <c r="C18" s="1">
        <v>22</v>
      </c>
      <c r="D18" s="1">
        <v>110.6</v>
      </c>
      <c r="E18" s="1">
        <v>110.55</v>
      </c>
      <c r="F18" s="3">
        <v>-774.28</v>
      </c>
      <c r="G18">
        <v>6588</v>
      </c>
      <c r="H18">
        <v>6935</v>
      </c>
      <c r="I18">
        <v>6735</v>
      </c>
      <c r="J18" s="1">
        <v>1.296</v>
      </c>
      <c r="K18" s="1">
        <v>1.292</v>
      </c>
      <c r="L18" s="1">
        <v>1.2909999999999999</v>
      </c>
      <c r="M18" s="1">
        <v>39.299999999999997</v>
      </c>
      <c r="N18" s="1">
        <v>35.54</v>
      </c>
      <c r="O18" s="1">
        <v>35.71</v>
      </c>
      <c r="P18" s="1">
        <v>110.55</v>
      </c>
      <c r="Q18" s="1">
        <v>1.31</v>
      </c>
      <c r="R18" s="1">
        <v>40.159999999999997</v>
      </c>
      <c r="S18" s="1">
        <v>45.13</v>
      </c>
      <c r="T18" s="1">
        <v>0</v>
      </c>
      <c r="U18" s="1">
        <v>86.6</v>
      </c>
      <c r="V18" s="1">
        <v>40.159999999999997</v>
      </c>
    </row>
    <row r="19" spans="1:22" x14ac:dyDescent="0.3">
      <c r="A19">
        <v>17</v>
      </c>
      <c r="B19" s="1">
        <v>5.968</v>
      </c>
      <c r="C19" s="1">
        <v>22</v>
      </c>
      <c r="D19" s="1">
        <v>110.61</v>
      </c>
      <c r="E19" s="1">
        <v>110.64</v>
      </c>
      <c r="F19" s="3">
        <v>-663.64</v>
      </c>
      <c r="G19">
        <v>6592</v>
      </c>
      <c r="H19">
        <v>6940</v>
      </c>
      <c r="I19">
        <v>6740</v>
      </c>
      <c r="J19" s="1">
        <v>1.296</v>
      </c>
      <c r="K19" s="1">
        <v>1.292</v>
      </c>
      <c r="L19" s="1">
        <v>1.2909999999999999</v>
      </c>
      <c r="M19" s="1">
        <v>39.340000000000003</v>
      </c>
      <c r="N19" s="1">
        <v>35.56</v>
      </c>
      <c r="O19" s="1">
        <v>35.74</v>
      </c>
      <c r="P19" s="1">
        <v>110.64</v>
      </c>
      <c r="Q19" s="1">
        <v>0.37</v>
      </c>
      <c r="R19" s="1">
        <v>40.28</v>
      </c>
      <c r="S19" s="1">
        <v>45.46</v>
      </c>
      <c r="T19" s="1">
        <v>0</v>
      </c>
      <c r="U19" s="1">
        <v>86.11</v>
      </c>
      <c r="V19" s="1">
        <v>40.28</v>
      </c>
    </row>
    <row r="20" spans="1:22" x14ac:dyDescent="0.3">
      <c r="A20">
        <v>18</v>
      </c>
      <c r="B20" s="1">
        <v>5.7640000000000002</v>
      </c>
      <c r="C20" s="1">
        <v>22</v>
      </c>
      <c r="D20" s="1">
        <v>110.61</v>
      </c>
      <c r="E20" s="1">
        <v>110.63</v>
      </c>
      <c r="F20" s="3">
        <v>-553.01</v>
      </c>
      <c r="G20">
        <v>6592</v>
      </c>
      <c r="H20">
        <v>6939</v>
      </c>
      <c r="I20">
        <v>6739</v>
      </c>
      <c r="J20" s="1">
        <v>1.296</v>
      </c>
      <c r="K20" s="1">
        <v>1.292</v>
      </c>
      <c r="L20" s="1">
        <v>1.2909999999999999</v>
      </c>
      <c r="M20" s="1">
        <v>39.33</v>
      </c>
      <c r="N20" s="1">
        <v>35.56</v>
      </c>
      <c r="O20" s="1">
        <v>35.74</v>
      </c>
      <c r="P20" s="1">
        <v>110.63</v>
      </c>
      <c r="Q20" s="1">
        <v>0.23</v>
      </c>
      <c r="R20" s="1">
        <v>40.26</v>
      </c>
      <c r="S20" s="1">
        <v>45.42</v>
      </c>
      <c r="T20" s="1">
        <v>0</v>
      </c>
      <c r="U20" s="1">
        <v>85.91</v>
      </c>
      <c r="V20" s="1">
        <v>40.26</v>
      </c>
    </row>
    <row r="21" spans="1:22" x14ac:dyDescent="0.3">
      <c r="A21">
        <v>19</v>
      </c>
      <c r="B21" s="1">
        <v>5.5880000000000001</v>
      </c>
      <c r="C21" s="1">
        <v>22</v>
      </c>
      <c r="D21" s="1">
        <v>110.6</v>
      </c>
      <c r="E21" s="1">
        <v>110.62</v>
      </c>
      <c r="F21" s="3">
        <v>-442.39</v>
      </c>
      <c r="G21">
        <v>6591</v>
      </c>
      <c r="H21">
        <v>6939</v>
      </c>
      <c r="I21">
        <v>6739</v>
      </c>
      <c r="J21" s="1">
        <v>1.296</v>
      </c>
      <c r="K21" s="1">
        <v>1.292</v>
      </c>
      <c r="L21" s="1">
        <v>1.2909999999999999</v>
      </c>
      <c r="M21" s="1">
        <v>39.33</v>
      </c>
      <c r="N21" s="1">
        <v>35.56</v>
      </c>
      <c r="O21" s="1">
        <v>35.729999999999997</v>
      </c>
      <c r="P21" s="1">
        <v>110.62</v>
      </c>
      <c r="Q21" s="1">
        <v>0.16</v>
      </c>
      <c r="R21" s="1">
        <v>40.25</v>
      </c>
      <c r="S21" s="1">
        <v>45.39</v>
      </c>
      <c r="T21" s="1">
        <v>0</v>
      </c>
      <c r="U21" s="1">
        <v>85.8</v>
      </c>
      <c r="V21" s="1">
        <v>40.25</v>
      </c>
    </row>
    <row r="22" spans="1:22" x14ac:dyDescent="0.3">
      <c r="A22">
        <v>20</v>
      </c>
      <c r="B22" s="1">
        <v>5.5590000000000002</v>
      </c>
      <c r="C22" s="1">
        <v>22</v>
      </c>
      <c r="D22" s="1">
        <v>110.6</v>
      </c>
      <c r="E22" s="1">
        <v>110.61</v>
      </c>
      <c r="F22" s="3">
        <v>-331.78</v>
      </c>
      <c r="G22">
        <v>6591</v>
      </c>
      <c r="H22">
        <v>6938</v>
      </c>
      <c r="I22">
        <v>6738</v>
      </c>
      <c r="J22" s="1">
        <v>1.296</v>
      </c>
      <c r="K22" s="1">
        <v>1.292</v>
      </c>
      <c r="L22" s="1">
        <v>1.2909999999999999</v>
      </c>
      <c r="M22" s="1">
        <v>39.33</v>
      </c>
      <c r="N22" s="1">
        <v>35.549999999999997</v>
      </c>
      <c r="O22" s="1">
        <v>35.729999999999997</v>
      </c>
      <c r="P22" s="1">
        <v>110.61</v>
      </c>
      <c r="Q22" s="1">
        <v>0.12</v>
      </c>
      <c r="R22" s="1">
        <v>40.24</v>
      </c>
      <c r="S22" s="1">
        <v>45.36</v>
      </c>
      <c r="T22" s="1">
        <v>0</v>
      </c>
      <c r="U22" s="1">
        <v>85.73</v>
      </c>
      <c r="V22" s="1">
        <v>40.24</v>
      </c>
    </row>
    <row r="23" spans="1:22" x14ac:dyDescent="0.3">
      <c r="A23">
        <v>21</v>
      </c>
      <c r="B23" s="1">
        <v>5.367</v>
      </c>
      <c r="C23" s="1">
        <v>22</v>
      </c>
      <c r="D23" s="1">
        <v>110.59</v>
      </c>
      <c r="E23" s="1">
        <v>110.61</v>
      </c>
      <c r="F23" s="3">
        <v>-221.17</v>
      </c>
      <c r="G23">
        <v>6591</v>
      </c>
      <c r="H23">
        <v>6938</v>
      </c>
      <c r="I23">
        <v>6738</v>
      </c>
      <c r="J23" s="1">
        <v>1.296</v>
      </c>
      <c r="K23" s="1">
        <v>1.292</v>
      </c>
      <c r="L23" s="1">
        <v>1.2909999999999999</v>
      </c>
      <c r="M23" s="1">
        <v>39.33</v>
      </c>
      <c r="N23" s="1">
        <v>35.549999999999997</v>
      </c>
      <c r="O23" s="1">
        <v>35.729999999999997</v>
      </c>
      <c r="P23" s="1">
        <v>110.61</v>
      </c>
      <c r="Q23" s="1">
        <v>0.1</v>
      </c>
      <c r="R23" s="1">
        <v>40.229999999999997</v>
      </c>
      <c r="S23" s="1">
        <v>45.34</v>
      </c>
      <c r="T23" s="1">
        <v>0</v>
      </c>
      <c r="U23" s="1">
        <v>85.67</v>
      </c>
      <c r="V23" s="1">
        <v>40.229999999999997</v>
      </c>
    </row>
    <row r="24" spans="1:22" x14ac:dyDescent="0.3">
      <c r="A24">
        <v>22</v>
      </c>
      <c r="B24" s="1">
        <v>5.2830000000000004</v>
      </c>
      <c r="C24" s="1">
        <v>22</v>
      </c>
      <c r="D24" s="1">
        <v>110.59</v>
      </c>
      <c r="E24" s="1">
        <v>110.6</v>
      </c>
      <c r="F24" s="3">
        <v>-110.57</v>
      </c>
      <c r="G24">
        <v>6590</v>
      </c>
      <c r="H24">
        <v>6937</v>
      </c>
      <c r="I24">
        <v>6737</v>
      </c>
      <c r="J24" s="1">
        <v>1.296</v>
      </c>
      <c r="K24" s="1">
        <v>1.292</v>
      </c>
      <c r="L24" s="1">
        <v>1.2909999999999999</v>
      </c>
      <c r="M24" s="1">
        <v>39.32</v>
      </c>
      <c r="N24" s="1">
        <v>35.549999999999997</v>
      </c>
      <c r="O24" s="1">
        <v>35.729999999999997</v>
      </c>
      <c r="P24" s="1">
        <v>110.6</v>
      </c>
      <c r="Q24" s="1">
        <v>0.11</v>
      </c>
      <c r="R24" s="1">
        <v>40.229999999999997</v>
      </c>
      <c r="S24" s="1">
        <v>45.31</v>
      </c>
      <c r="T24" s="1">
        <v>0</v>
      </c>
      <c r="U24" s="1">
        <v>85.65</v>
      </c>
      <c r="V24" s="1">
        <v>40.229999999999997</v>
      </c>
    </row>
    <row r="25" spans="1:22" x14ac:dyDescent="0.3">
      <c r="A25">
        <v>23</v>
      </c>
      <c r="B25" s="1">
        <v>5.1630000000000003</v>
      </c>
      <c r="C25" s="1">
        <v>22</v>
      </c>
      <c r="D25" s="1">
        <v>110.57</v>
      </c>
      <c r="E25" s="1">
        <v>110.59</v>
      </c>
      <c r="F25" s="3">
        <v>0.02</v>
      </c>
      <c r="G25">
        <v>6590</v>
      </c>
      <c r="H25">
        <v>6937</v>
      </c>
      <c r="I25">
        <v>6737</v>
      </c>
      <c r="J25" s="1">
        <v>1.296</v>
      </c>
      <c r="K25" s="1">
        <v>1.292</v>
      </c>
      <c r="L25" s="1">
        <v>1.2909999999999999</v>
      </c>
      <c r="M25" s="1">
        <v>39.32</v>
      </c>
      <c r="N25" s="1">
        <v>35.549999999999997</v>
      </c>
      <c r="O25" s="1">
        <v>35.72</v>
      </c>
      <c r="P25" s="1">
        <v>110.59</v>
      </c>
      <c r="Q25" s="1">
        <v>0.2</v>
      </c>
      <c r="R25" s="1">
        <v>40.21</v>
      </c>
      <c r="S25" s="1">
        <v>45.28</v>
      </c>
      <c r="T25" s="1">
        <v>0</v>
      </c>
      <c r="U25" s="1">
        <v>85.7</v>
      </c>
      <c r="V25" s="1">
        <v>40.21</v>
      </c>
    </row>
    <row r="26" spans="1:22" x14ac:dyDescent="0.3">
      <c r="B26" s="1"/>
      <c r="C26" s="1"/>
      <c r="D26" s="1"/>
      <c r="E26" s="1"/>
      <c r="F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">
      <c r="G27">
        <f>G3-G2</f>
        <v>248</v>
      </c>
      <c r="H27">
        <f>H4-H3</f>
        <v>276</v>
      </c>
    </row>
    <row r="28" spans="1:22" x14ac:dyDescent="0.3">
      <c r="F28" s="2"/>
      <c r="G28">
        <f>G4-G3</f>
        <v>248</v>
      </c>
      <c r="H28">
        <f>H5-H4</f>
        <v>276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604CD-11C6-477D-AFF7-767E29DFA28B}">
  <dimension ref="A1:V25"/>
  <sheetViews>
    <sheetView zoomScale="55" zoomScaleNormal="55" workbookViewId="0">
      <selection activeCell="Y33" sqref="Y33"/>
    </sheetView>
  </sheetViews>
  <sheetFormatPr defaultRowHeight="14.4" x14ac:dyDescent="0.3"/>
  <cols>
    <col min="1" max="1" width="8" bestFit="1" customWidth="1"/>
    <col min="2" max="2" width="11.44140625" bestFit="1" customWidth="1"/>
    <col min="3" max="3" width="8.33203125" bestFit="1" customWidth="1"/>
    <col min="4" max="4" width="14.6640625" bestFit="1" customWidth="1"/>
    <col min="5" max="5" width="9.44140625" bestFit="1" customWidth="1"/>
    <col min="6" max="6" width="12.109375" bestFit="1" customWidth="1"/>
    <col min="7" max="9" width="12.44140625" bestFit="1" customWidth="1"/>
    <col min="10" max="12" width="13.6640625" bestFit="1" customWidth="1"/>
    <col min="13" max="15" width="15.109375" bestFit="1" customWidth="1"/>
    <col min="16" max="16" width="14.6640625" bestFit="1" customWidth="1"/>
    <col min="17" max="17" width="10" bestFit="1" customWidth="1"/>
    <col min="18" max="18" width="9.5546875" bestFit="1" customWidth="1"/>
    <col min="19" max="19" width="10" bestFit="1" customWidth="1"/>
    <col min="20" max="20" width="18.109375" bestFit="1" customWidth="1"/>
    <col min="21" max="21" width="12.5546875" bestFit="1" customWidth="1"/>
    <col min="22" max="22" width="18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0</v>
      </c>
      <c r="B2" s="1">
        <v>5.22</v>
      </c>
      <c r="C2" s="1">
        <v>22</v>
      </c>
      <c r="D2" s="1">
        <v>100</v>
      </c>
      <c r="E2" s="1">
        <v>64.03</v>
      </c>
      <c r="F2" s="1">
        <v>-2335.9699999999998</v>
      </c>
      <c r="G2">
        <v>5162</v>
      </c>
      <c r="H2">
        <v>5281</v>
      </c>
      <c r="I2">
        <v>5094</v>
      </c>
      <c r="J2" s="1">
        <v>1.264</v>
      </c>
      <c r="K2" s="1">
        <v>1.2729999999999999</v>
      </c>
      <c r="L2" s="1">
        <v>1.2729999999999999</v>
      </c>
      <c r="M2" s="1">
        <v>22.33</v>
      </c>
      <c r="N2" s="1">
        <v>20.9</v>
      </c>
      <c r="O2" s="1">
        <v>20.8</v>
      </c>
      <c r="P2" s="1">
        <v>64.03</v>
      </c>
      <c r="Q2" s="1">
        <v>646927.18000000005</v>
      </c>
      <c r="R2" s="1">
        <v>19.329999999999998</v>
      </c>
      <c r="S2" s="1">
        <v>7.33</v>
      </c>
      <c r="T2" s="1">
        <v>0</v>
      </c>
      <c r="U2" s="1">
        <v>646953.84</v>
      </c>
      <c r="V2" s="1">
        <v>19.329999999999998</v>
      </c>
    </row>
    <row r="3" spans="1:22" x14ac:dyDescent="0.3">
      <c r="A3">
        <v>1</v>
      </c>
      <c r="B3" s="1">
        <v>5.2149999999999999</v>
      </c>
      <c r="C3" s="1">
        <v>22</v>
      </c>
      <c r="D3" s="1">
        <v>101.56</v>
      </c>
      <c r="E3" s="1">
        <v>87.57</v>
      </c>
      <c r="F3" s="1">
        <v>-2248.4</v>
      </c>
      <c r="G3">
        <v>5861</v>
      </c>
      <c r="H3">
        <v>5970</v>
      </c>
      <c r="I3">
        <v>5704</v>
      </c>
      <c r="J3" s="1">
        <v>1.2889999999999999</v>
      </c>
      <c r="K3" s="1">
        <v>1.2929999999999999</v>
      </c>
      <c r="L3" s="1">
        <v>1.292</v>
      </c>
      <c r="M3" s="1">
        <v>31.5</v>
      </c>
      <c r="N3" s="1">
        <v>28.37</v>
      </c>
      <c r="O3" s="1">
        <v>27.71</v>
      </c>
      <c r="P3" s="1">
        <v>87.57</v>
      </c>
      <c r="Q3" s="1">
        <v>97901.53</v>
      </c>
      <c r="R3" s="1">
        <v>25.35</v>
      </c>
      <c r="S3" s="1">
        <v>41</v>
      </c>
      <c r="T3" s="1">
        <v>0</v>
      </c>
      <c r="U3" s="1">
        <v>97967.88</v>
      </c>
      <c r="V3" s="1">
        <v>25.35</v>
      </c>
    </row>
    <row r="4" spans="1:22" x14ac:dyDescent="0.3">
      <c r="A4">
        <v>2</v>
      </c>
      <c r="B4" s="1">
        <v>5.306</v>
      </c>
      <c r="C4" s="1">
        <v>22</v>
      </c>
      <c r="D4" s="1">
        <v>102.2</v>
      </c>
      <c r="E4" s="1">
        <v>102.09</v>
      </c>
      <c r="F4" s="1">
        <v>-2146.31</v>
      </c>
      <c r="G4">
        <v>6164</v>
      </c>
      <c r="H4">
        <v>6546</v>
      </c>
      <c r="I4">
        <v>6400</v>
      </c>
      <c r="J4" s="1">
        <v>1.294</v>
      </c>
      <c r="K4" s="1">
        <v>1.296</v>
      </c>
      <c r="L4" s="1">
        <v>1.2949999999999999</v>
      </c>
      <c r="M4" s="1">
        <v>35.1</v>
      </c>
      <c r="N4" s="1">
        <v>33.229999999999997</v>
      </c>
      <c r="O4" s="1">
        <v>33.76</v>
      </c>
      <c r="P4" s="1">
        <v>102.09</v>
      </c>
      <c r="Q4" s="1">
        <v>6.05</v>
      </c>
      <c r="R4" s="1">
        <v>32.43</v>
      </c>
      <c r="S4" s="1">
        <v>9.24</v>
      </c>
      <c r="T4" s="1">
        <v>0</v>
      </c>
      <c r="U4" s="1">
        <v>47.72</v>
      </c>
      <c r="V4" s="1">
        <v>32.43</v>
      </c>
    </row>
    <row r="5" spans="1:22" x14ac:dyDescent="0.3">
      <c r="A5">
        <v>3</v>
      </c>
      <c r="B5" s="1">
        <v>5.4370000000000003</v>
      </c>
      <c r="C5" s="1">
        <v>22</v>
      </c>
      <c r="D5" s="1">
        <v>102.21</v>
      </c>
      <c r="E5" s="1">
        <v>102.2</v>
      </c>
      <c r="F5" s="1">
        <v>-2044.11</v>
      </c>
      <c r="G5">
        <v>6079</v>
      </c>
      <c r="H5">
        <v>6657</v>
      </c>
      <c r="I5">
        <v>6451</v>
      </c>
      <c r="J5" s="1">
        <v>1.2929999999999999</v>
      </c>
      <c r="K5" s="1">
        <v>1.2949999999999999</v>
      </c>
      <c r="L5" s="1">
        <v>1.2949999999999999</v>
      </c>
      <c r="M5" s="1">
        <v>34.130000000000003</v>
      </c>
      <c r="N5" s="1">
        <v>33.97</v>
      </c>
      <c r="O5" s="1">
        <v>34.1</v>
      </c>
      <c r="P5" s="1">
        <v>102.2</v>
      </c>
      <c r="Q5" s="1">
        <v>0.03</v>
      </c>
      <c r="R5" s="1">
        <v>32.89</v>
      </c>
      <c r="S5" s="1">
        <v>7.0000000000000007E-2</v>
      </c>
      <c r="T5" s="1">
        <v>0</v>
      </c>
      <c r="U5" s="1">
        <v>32.99</v>
      </c>
      <c r="V5" s="1">
        <v>32.89</v>
      </c>
    </row>
    <row r="6" spans="1:22" x14ac:dyDescent="0.3">
      <c r="A6">
        <v>4</v>
      </c>
      <c r="B6" s="1">
        <v>5.4909999999999997</v>
      </c>
      <c r="C6" s="1">
        <v>22</v>
      </c>
      <c r="D6" s="1">
        <v>102.21</v>
      </c>
      <c r="E6" s="1">
        <v>102.2</v>
      </c>
      <c r="F6" s="1">
        <v>-1941.91</v>
      </c>
      <c r="G6">
        <v>6078</v>
      </c>
      <c r="H6">
        <v>6658</v>
      </c>
      <c r="I6">
        <v>6452</v>
      </c>
      <c r="J6" s="1">
        <v>1.2929999999999999</v>
      </c>
      <c r="K6" s="1">
        <v>1.2949999999999999</v>
      </c>
      <c r="L6" s="1">
        <v>1.2949999999999999</v>
      </c>
      <c r="M6" s="1">
        <v>34.119999999999997</v>
      </c>
      <c r="N6" s="1">
        <v>33.979999999999997</v>
      </c>
      <c r="O6" s="1">
        <v>34.11</v>
      </c>
      <c r="P6" s="1">
        <v>102.2</v>
      </c>
      <c r="Q6" s="1">
        <v>0</v>
      </c>
      <c r="R6" s="1">
        <v>32.9</v>
      </c>
      <c r="S6" s="1">
        <v>0.06</v>
      </c>
      <c r="T6" s="1">
        <v>0</v>
      </c>
      <c r="U6" s="1">
        <v>32.96</v>
      </c>
      <c r="V6" s="1">
        <v>32.9</v>
      </c>
    </row>
    <row r="7" spans="1:22" x14ac:dyDescent="0.3">
      <c r="A7">
        <v>5</v>
      </c>
      <c r="B7" s="1">
        <v>5.6349999999999998</v>
      </c>
      <c r="C7" s="1">
        <v>22</v>
      </c>
      <c r="D7" s="1">
        <v>102.21</v>
      </c>
      <c r="E7" s="1">
        <v>102.2</v>
      </c>
      <c r="F7" s="1">
        <v>-1839.7</v>
      </c>
      <c r="G7">
        <v>6080</v>
      </c>
      <c r="H7">
        <v>6664</v>
      </c>
      <c r="I7">
        <v>6442</v>
      </c>
      <c r="J7" s="1">
        <v>1.2929999999999999</v>
      </c>
      <c r="K7" s="1">
        <v>1.2949999999999999</v>
      </c>
      <c r="L7" s="1">
        <v>1.2949999999999999</v>
      </c>
      <c r="M7" s="1">
        <v>34.15</v>
      </c>
      <c r="N7" s="1">
        <v>34.020000000000003</v>
      </c>
      <c r="O7" s="1">
        <v>34.04</v>
      </c>
      <c r="P7" s="1">
        <v>102.2</v>
      </c>
      <c r="Q7" s="1">
        <v>0</v>
      </c>
      <c r="R7" s="1">
        <v>32.89</v>
      </c>
      <c r="S7" s="1">
        <v>0.05</v>
      </c>
      <c r="T7" s="1">
        <v>0</v>
      </c>
      <c r="U7" s="1">
        <v>32.94</v>
      </c>
      <c r="V7" s="1">
        <v>32.89</v>
      </c>
    </row>
    <row r="8" spans="1:22" x14ac:dyDescent="0.3">
      <c r="A8">
        <v>6</v>
      </c>
      <c r="B8" s="1">
        <v>5.8630000000000004</v>
      </c>
      <c r="C8" s="1">
        <v>22</v>
      </c>
      <c r="D8" s="1">
        <v>102.21</v>
      </c>
      <c r="E8" s="1">
        <v>102.2</v>
      </c>
      <c r="F8" s="1">
        <v>-1737.51</v>
      </c>
      <c r="G8">
        <v>6080</v>
      </c>
      <c r="H8">
        <v>6669</v>
      </c>
      <c r="I8">
        <v>6438</v>
      </c>
      <c r="J8" s="1">
        <v>1.2929999999999999</v>
      </c>
      <c r="K8" s="1">
        <v>1.2949999999999999</v>
      </c>
      <c r="L8" s="1">
        <v>1.2949999999999999</v>
      </c>
      <c r="M8" s="1">
        <v>34.14</v>
      </c>
      <c r="N8" s="1">
        <v>34.049999999999997</v>
      </c>
      <c r="O8" s="1">
        <v>34.01</v>
      </c>
      <c r="P8" s="1">
        <v>102.2</v>
      </c>
      <c r="Q8" s="1">
        <v>0.02</v>
      </c>
      <c r="R8" s="1">
        <v>32.89</v>
      </c>
      <c r="S8" s="1">
        <v>0.04</v>
      </c>
      <c r="T8" s="1">
        <v>0</v>
      </c>
      <c r="U8" s="1">
        <v>32.950000000000003</v>
      </c>
      <c r="V8" s="1">
        <v>32.89</v>
      </c>
    </row>
    <row r="9" spans="1:22" x14ac:dyDescent="0.3">
      <c r="A9">
        <v>7</v>
      </c>
      <c r="B9" s="1">
        <v>5.9859999999999998</v>
      </c>
      <c r="C9" s="1">
        <v>22</v>
      </c>
      <c r="D9" s="1">
        <v>102.21</v>
      </c>
      <c r="E9" s="1">
        <v>102.19</v>
      </c>
      <c r="F9" s="1">
        <v>-1635.32</v>
      </c>
      <c r="G9">
        <v>6093</v>
      </c>
      <c r="H9">
        <v>6692</v>
      </c>
      <c r="I9">
        <v>6392</v>
      </c>
      <c r="J9" s="1">
        <v>1.294</v>
      </c>
      <c r="K9" s="1">
        <v>1.2949999999999999</v>
      </c>
      <c r="L9" s="1">
        <v>1.2949999999999999</v>
      </c>
      <c r="M9" s="1">
        <v>34.29</v>
      </c>
      <c r="N9" s="1">
        <v>34.19</v>
      </c>
      <c r="O9" s="1">
        <v>33.71</v>
      </c>
      <c r="P9" s="1">
        <v>102.19</v>
      </c>
      <c r="Q9" s="1">
        <v>0.15</v>
      </c>
      <c r="R9" s="1">
        <v>32.82</v>
      </c>
      <c r="S9" s="1">
        <v>0.96</v>
      </c>
      <c r="T9" s="1">
        <v>0</v>
      </c>
      <c r="U9" s="1">
        <v>33.94</v>
      </c>
      <c r="V9" s="1">
        <v>32.82</v>
      </c>
    </row>
    <row r="10" spans="1:22" x14ac:dyDescent="0.3">
      <c r="A10">
        <v>8</v>
      </c>
      <c r="B10" s="1">
        <v>6.0810000000000004</v>
      </c>
      <c r="C10" s="1">
        <v>22</v>
      </c>
      <c r="D10" s="1">
        <v>102.21</v>
      </c>
      <c r="E10" s="1">
        <v>102.21</v>
      </c>
      <c r="F10" s="1">
        <v>-1533.11</v>
      </c>
      <c r="G10">
        <v>6075</v>
      </c>
      <c r="H10">
        <v>6676</v>
      </c>
      <c r="I10">
        <v>6441</v>
      </c>
      <c r="J10" s="1">
        <v>1.2929999999999999</v>
      </c>
      <c r="K10" s="1">
        <v>1.2949999999999999</v>
      </c>
      <c r="L10" s="1">
        <v>1.2949999999999999</v>
      </c>
      <c r="M10" s="1">
        <v>34.090000000000003</v>
      </c>
      <c r="N10" s="1">
        <v>34.090000000000003</v>
      </c>
      <c r="O10" s="1">
        <v>34.03</v>
      </c>
      <c r="P10" s="1">
        <v>102.21</v>
      </c>
      <c r="Q10" s="1">
        <v>0</v>
      </c>
      <c r="R10" s="1">
        <v>32.92</v>
      </c>
      <c r="S10" s="1">
        <v>0.01</v>
      </c>
      <c r="T10" s="1">
        <v>0</v>
      </c>
      <c r="U10" s="1">
        <v>32.93</v>
      </c>
      <c r="V10" s="1">
        <v>32.92</v>
      </c>
    </row>
    <row r="11" spans="1:22" x14ac:dyDescent="0.3">
      <c r="A11">
        <v>9</v>
      </c>
      <c r="B11" s="1">
        <v>6.2460000000000004</v>
      </c>
      <c r="C11" s="1">
        <v>22</v>
      </c>
      <c r="D11" s="1">
        <v>102.21</v>
      </c>
      <c r="E11" s="1">
        <v>102.21</v>
      </c>
      <c r="F11" s="1">
        <v>-1430.9</v>
      </c>
      <c r="G11">
        <v>6081</v>
      </c>
      <c r="H11">
        <v>6669</v>
      </c>
      <c r="I11">
        <v>6437</v>
      </c>
      <c r="J11" s="1">
        <v>1.2929999999999999</v>
      </c>
      <c r="K11" s="1">
        <v>1.2949999999999999</v>
      </c>
      <c r="L11" s="1">
        <v>1.2949999999999999</v>
      </c>
      <c r="M11" s="1">
        <v>34.159999999999997</v>
      </c>
      <c r="N11" s="1">
        <v>34.049999999999997</v>
      </c>
      <c r="O11" s="1">
        <v>34.01</v>
      </c>
      <c r="P11" s="1">
        <v>102.21</v>
      </c>
      <c r="Q11" s="1">
        <v>0.01</v>
      </c>
      <c r="R11" s="1">
        <v>32.89</v>
      </c>
      <c r="S11" s="1">
        <v>0.06</v>
      </c>
      <c r="T11" s="1">
        <v>0</v>
      </c>
      <c r="U11" s="1">
        <v>32.97</v>
      </c>
      <c r="V11" s="1">
        <v>32.89</v>
      </c>
    </row>
    <row r="12" spans="1:22" x14ac:dyDescent="0.3">
      <c r="A12">
        <v>10</v>
      </c>
      <c r="B12" s="1">
        <v>6.3010000000000002</v>
      </c>
      <c r="C12" s="1">
        <v>22</v>
      </c>
      <c r="D12" s="1">
        <v>102.21</v>
      </c>
      <c r="E12" s="1">
        <v>102.21</v>
      </c>
      <c r="F12" s="1">
        <v>-1328.69</v>
      </c>
      <c r="G12">
        <v>6071</v>
      </c>
      <c r="H12">
        <v>6681</v>
      </c>
      <c r="I12">
        <v>6443</v>
      </c>
      <c r="J12" s="1">
        <v>1.2929999999999999</v>
      </c>
      <c r="K12" s="1">
        <v>1.2949999999999999</v>
      </c>
      <c r="L12" s="1">
        <v>1.2949999999999999</v>
      </c>
      <c r="M12" s="1">
        <v>34.04</v>
      </c>
      <c r="N12" s="1">
        <v>34.119999999999997</v>
      </c>
      <c r="O12" s="1">
        <v>34.049999999999997</v>
      </c>
      <c r="P12" s="1">
        <v>102.21</v>
      </c>
      <c r="Q12" s="1">
        <v>0</v>
      </c>
      <c r="R12" s="1">
        <v>32.94</v>
      </c>
      <c r="S12" s="1">
        <v>0.02</v>
      </c>
      <c r="T12" s="1">
        <v>0</v>
      </c>
      <c r="U12" s="1">
        <v>32.96</v>
      </c>
      <c r="V12" s="1">
        <v>32.94</v>
      </c>
    </row>
    <row r="13" spans="1:22" x14ac:dyDescent="0.3">
      <c r="A13">
        <v>11</v>
      </c>
      <c r="B13" s="1">
        <v>6.3609999999999998</v>
      </c>
      <c r="C13" s="1">
        <v>22</v>
      </c>
      <c r="D13" s="1">
        <v>102.21</v>
      </c>
      <c r="E13" s="1">
        <v>102.21</v>
      </c>
      <c r="F13" s="1">
        <v>-1226.49</v>
      </c>
      <c r="G13">
        <v>6055</v>
      </c>
      <c r="H13">
        <v>6667</v>
      </c>
      <c r="I13">
        <v>6485</v>
      </c>
      <c r="J13" s="1">
        <v>1.2929999999999999</v>
      </c>
      <c r="K13" s="1">
        <v>1.2949999999999999</v>
      </c>
      <c r="L13" s="1">
        <v>1.294</v>
      </c>
      <c r="M13" s="1">
        <v>33.85</v>
      </c>
      <c r="N13" s="1">
        <v>34.03</v>
      </c>
      <c r="O13" s="1">
        <v>34.32</v>
      </c>
      <c r="P13" s="1">
        <v>102.21</v>
      </c>
      <c r="Q13" s="1">
        <v>0</v>
      </c>
      <c r="R13" s="1">
        <v>33.04</v>
      </c>
      <c r="S13" s="1">
        <v>0.55000000000000004</v>
      </c>
      <c r="T13" s="1">
        <v>0</v>
      </c>
      <c r="U13" s="1">
        <v>33.590000000000003</v>
      </c>
      <c r="V13" s="1">
        <v>33.04</v>
      </c>
    </row>
    <row r="14" spans="1:22" x14ac:dyDescent="0.3">
      <c r="A14">
        <v>12</v>
      </c>
      <c r="B14" s="1">
        <v>6.41</v>
      </c>
      <c r="C14" s="1">
        <v>22</v>
      </c>
      <c r="D14" s="1">
        <v>102.21</v>
      </c>
      <c r="E14" s="1">
        <v>102.2</v>
      </c>
      <c r="F14" s="1">
        <v>-1124.28</v>
      </c>
      <c r="G14">
        <v>6080</v>
      </c>
      <c r="H14">
        <v>6658</v>
      </c>
      <c r="I14">
        <v>6448</v>
      </c>
      <c r="J14" s="1">
        <v>1.2929999999999999</v>
      </c>
      <c r="K14" s="1">
        <v>1.2949999999999999</v>
      </c>
      <c r="L14" s="1">
        <v>1.2949999999999999</v>
      </c>
      <c r="M14" s="1">
        <v>34.15</v>
      </c>
      <c r="N14" s="1">
        <v>33.979999999999997</v>
      </c>
      <c r="O14" s="1">
        <v>34.08</v>
      </c>
      <c r="P14" s="1">
        <v>102.2</v>
      </c>
      <c r="Q14" s="1">
        <v>0.02</v>
      </c>
      <c r="R14" s="1">
        <v>32.89</v>
      </c>
      <c r="S14" s="1">
        <v>7.0000000000000007E-2</v>
      </c>
      <c r="T14" s="1">
        <v>0</v>
      </c>
      <c r="U14" s="1">
        <v>32.979999999999997</v>
      </c>
      <c r="V14" s="1">
        <v>32.89</v>
      </c>
    </row>
    <row r="15" spans="1:22" x14ac:dyDescent="0.3">
      <c r="A15">
        <v>13</v>
      </c>
      <c r="B15" s="1">
        <v>6.3029999999999999</v>
      </c>
      <c r="C15" s="1">
        <v>22</v>
      </c>
      <c r="D15" s="1">
        <v>102.21</v>
      </c>
      <c r="E15" s="1">
        <v>102.19</v>
      </c>
      <c r="F15" s="1">
        <v>-1022.09</v>
      </c>
      <c r="G15">
        <v>6093</v>
      </c>
      <c r="H15">
        <v>6648</v>
      </c>
      <c r="I15">
        <v>6434</v>
      </c>
      <c r="J15" s="1">
        <v>1.294</v>
      </c>
      <c r="K15" s="1">
        <v>1.2949999999999999</v>
      </c>
      <c r="L15" s="1">
        <v>1.2949999999999999</v>
      </c>
      <c r="M15" s="1">
        <v>34.29</v>
      </c>
      <c r="N15" s="1">
        <v>33.909999999999997</v>
      </c>
      <c r="O15" s="1">
        <v>33.99</v>
      </c>
      <c r="P15" s="1">
        <v>102.19</v>
      </c>
      <c r="Q15" s="1">
        <v>0.1</v>
      </c>
      <c r="R15" s="1">
        <v>32.81</v>
      </c>
      <c r="S15" s="1">
        <v>0.39</v>
      </c>
      <c r="T15" s="1">
        <v>0</v>
      </c>
      <c r="U15" s="1">
        <v>33.299999999999997</v>
      </c>
      <c r="V15" s="1">
        <v>32.81</v>
      </c>
    </row>
    <row r="16" spans="1:22" x14ac:dyDescent="0.3">
      <c r="A16">
        <v>14</v>
      </c>
      <c r="B16" s="1">
        <v>6.2510000000000003</v>
      </c>
      <c r="C16" s="1">
        <v>22</v>
      </c>
      <c r="D16" s="1">
        <v>102.21</v>
      </c>
      <c r="E16" s="1">
        <v>102.21</v>
      </c>
      <c r="F16" s="1">
        <v>-919.89</v>
      </c>
      <c r="G16">
        <v>6076</v>
      </c>
      <c r="H16">
        <v>6667</v>
      </c>
      <c r="I16">
        <v>6447</v>
      </c>
      <c r="J16" s="1">
        <v>1.2929999999999999</v>
      </c>
      <c r="K16" s="1">
        <v>1.2949999999999999</v>
      </c>
      <c r="L16" s="1">
        <v>1.2949999999999999</v>
      </c>
      <c r="M16" s="1">
        <v>34.1</v>
      </c>
      <c r="N16" s="1">
        <v>34.03</v>
      </c>
      <c r="O16" s="1">
        <v>34.07</v>
      </c>
      <c r="P16" s="1">
        <v>102.21</v>
      </c>
      <c r="Q16" s="1">
        <v>0.01</v>
      </c>
      <c r="R16" s="1">
        <v>32.909999999999997</v>
      </c>
      <c r="S16" s="1">
        <v>0.01</v>
      </c>
      <c r="T16" s="1">
        <v>0</v>
      </c>
      <c r="U16" s="1">
        <v>32.93</v>
      </c>
      <c r="V16" s="1">
        <v>32.909999999999997</v>
      </c>
    </row>
    <row r="17" spans="1:22" x14ac:dyDescent="0.3">
      <c r="A17">
        <v>15</v>
      </c>
      <c r="B17" s="1">
        <v>6.202</v>
      </c>
      <c r="C17" s="1">
        <v>22</v>
      </c>
      <c r="D17" s="1">
        <v>102.21</v>
      </c>
      <c r="E17" s="1">
        <v>102.18</v>
      </c>
      <c r="F17" s="1">
        <v>-817.71</v>
      </c>
      <c r="G17">
        <v>6068</v>
      </c>
      <c r="H17">
        <v>6619</v>
      </c>
      <c r="I17">
        <v>6506</v>
      </c>
      <c r="J17" s="1">
        <v>1.2929999999999999</v>
      </c>
      <c r="K17" s="1">
        <v>1.2949999999999999</v>
      </c>
      <c r="L17" s="1">
        <v>1.294</v>
      </c>
      <c r="M17" s="1">
        <v>34</v>
      </c>
      <c r="N17" s="1">
        <v>33.729999999999997</v>
      </c>
      <c r="O17" s="1">
        <v>34.450000000000003</v>
      </c>
      <c r="P17" s="1">
        <v>102.18</v>
      </c>
      <c r="Q17" s="1">
        <v>0.56999999999999995</v>
      </c>
      <c r="R17" s="1">
        <v>32.97</v>
      </c>
      <c r="S17" s="1">
        <v>1.31</v>
      </c>
      <c r="T17" s="1">
        <v>0</v>
      </c>
      <c r="U17" s="1">
        <v>34.85</v>
      </c>
      <c r="V17" s="1">
        <v>32.97</v>
      </c>
    </row>
    <row r="18" spans="1:22" x14ac:dyDescent="0.3">
      <c r="A18">
        <v>16</v>
      </c>
      <c r="B18" s="1">
        <v>6.0590000000000002</v>
      </c>
      <c r="C18" s="1">
        <v>22</v>
      </c>
      <c r="D18" s="1">
        <v>102.21</v>
      </c>
      <c r="E18" s="1">
        <v>102.21</v>
      </c>
      <c r="F18" s="1">
        <v>-715.5</v>
      </c>
      <c r="G18">
        <v>6059</v>
      </c>
      <c r="H18">
        <v>6679</v>
      </c>
      <c r="I18">
        <v>6466</v>
      </c>
      <c r="J18" s="1">
        <v>1.2929999999999999</v>
      </c>
      <c r="K18" s="1">
        <v>1.2949999999999999</v>
      </c>
      <c r="L18" s="1">
        <v>1.2949999999999999</v>
      </c>
      <c r="M18" s="1">
        <v>33.9</v>
      </c>
      <c r="N18" s="1">
        <v>34.11</v>
      </c>
      <c r="O18" s="1">
        <v>34.200000000000003</v>
      </c>
      <c r="P18" s="1">
        <v>102.21</v>
      </c>
      <c r="Q18" s="1">
        <v>0.03</v>
      </c>
      <c r="R18" s="1">
        <v>33.01</v>
      </c>
      <c r="S18" s="1">
        <v>0.23</v>
      </c>
      <c r="T18" s="1">
        <v>0</v>
      </c>
      <c r="U18" s="1">
        <v>33.28</v>
      </c>
      <c r="V18" s="1">
        <v>33.01</v>
      </c>
    </row>
    <row r="19" spans="1:22" x14ac:dyDescent="0.3">
      <c r="A19">
        <v>17</v>
      </c>
      <c r="B19" s="1">
        <v>5.968</v>
      </c>
      <c r="C19" s="1">
        <v>22</v>
      </c>
      <c r="D19" s="1">
        <v>102.21</v>
      </c>
      <c r="E19" s="1">
        <v>102.22</v>
      </c>
      <c r="F19" s="1">
        <v>-613.28</v>
      </c>
      <c r="G19">
        <v>6078</v>
      </c>
      <c r="H19">
        <v>6673</v>
      </c>
      <c r="I19">
        <v>6442</v>
      </c>
      <c r="J19" s="1">
        <v>1.2929999999999999</v>
      </c>
      <c r="K19" s="1">
        <v>1.2949999999999999</v>
      </c>
      <c r="L19" s="1">
        <v>1.2949999999999999</v>
      </c>
      <c r="M19" s="1">
        <v>34.119999999999997</v>
      </c>
      <c r="N19" s="1">
        <v>34.07</v>
      </c>
      <c r="O19" s="1">
        <v>34.04</v>
      </c>
      <c r="P19" s="1">
        <v>102.22</v>
      </c>
      <c r="Q19" s="1">
        <v>0.05</v>
      </c>
      <c r="R19" s="1">
        <v>32.92</v>
      </c>
      <c r="S19" s="1">
        <v>0.02</v>
      </c>
      <c r="T19" s="1">
        <v>0</v>
      </c>
      <c r="U19" s="1">
        <v>32.99</v>
      </c>
      <c r="V19" s="1">
        <v>32.92</v>
      </c>
    </row>
    <row r="20" spans="1:22" x14ac:dyDescent="0.3">
      <c r="A20">
        <v>18</v>
      </c>
      <c r="B20" s="1">
        <v>5.7640000000000002</v>
      </c>
      <c r="C20" s="1">
        <v>22</v>
      </c>
      <c r="D20" s="1">
        <v>102.21</v>
      </c>
      <c r="E20" s="1">
        <v>102.21</v>
      </c>
      <c r="F20" s="1">
        <v>-511.07</v>
      </c>
      <c r="G20">
        <v>6080</v>
      </c>
      <c r="H20">
        <v>6679</v>
      </c>
      <c r="I20">
        <v>6431</v>
      </c>
      <c r="J20" s="1">
        <v>1.2929999999999999</v>
      </c>
      <c r="K20" s="1">
        <v>1.2949999999999999</v>
      </c>
      <c r="L20" s="1">
        <v>1.2949999999999999</v>
      </c>
      <c r="M20" s="1">
        <v>34.14</v>
      </c>
      <c r="N20" s="1">
        <v>34.11</v>
      </c>
      <c r="O20" s="1">
        <v>33.97</v>
      </c>
      <c r="P20" s="1">
        <v>102.21</v>
      </c>
      <c r="Q20" s="1">
        <v>0</v>
      </c>
      <c r="R20" s="1">
        <v>32.9</v>
      </c>
      <c r="S20" s="1">
        <v>0.08</v>
      </c>
      <c r="T20" s="1">
        <v>0</v>
      </c>
      <c r="U20" s="1">
        <v>32.979999999999997</v>
      </c>
      <c r="V20" s="1">
        <v>32.9</v>
      </c>
    </row>
    <row r="21" spans="1:22" x14ac:dyDescent="0.3">
      <c r="A21">
        <v>19</v>
      </c>
      <c r="B21" s="1">
        <v>5.5880000000000001</v>
      </c>
      <c r="C21" s="1">
        <v>22</v>
      </c>
      <c r="D21" s="1">
        <v>102.21</v>
      </c>
      <c r="E21" s="1">
        <v>102.2</v>
      </c>
      <c r="F21" s="1">
        <v>-408.87</v>
      </c>
      <c r="G21">
        <v>6070</v>
      </c>
      <c r="H21">
        <v>6691</v>
      </c>
      <c r="I21">
        <v>6434</v>
      </c>
      <c r="J21" s="1">
        <v>1.2929999999999999</v>
      </c>
      <c r="K21" s="1">
        <v>1.2949999999999999</v>
      </c>
      <c r="L21" s="1">
        <v>1.2949999999999999</v>
      </c>
      <c r="M21" s="1">
        <v>34.03</v>
      </c>
      <c r="N21" s="1">
        <v>34.19</v>
      </c>
      <c r="O21" s="1">
        <v>33.99</v>
      </c>
      <c r="P21" s="1">
        <v>102.2</v>
      </c>
      <c r="Q21" s="1">
        <v>0.09</v>
      </c>
      <c r="R21" s="1">
        <v>32.950000000000003</v>
      </c>
      <c r="S21" s="1">
        <v>0.11</v>
      </c>
      <c r="T21" s="1">
        <v>0</v>
      </c>
      <c r="U21" s="1">
        <v>33.14</v>
      </c>
      <c r="V21" s="1">
        <v>32.950000000000003</v>
      </c>
    </row>
    <row r="22" spans="1:22" x14ac:dyDescent="0.3">
      <c r="A22">
        <v>20</v>
      </c>
      <c r="B22" s="1">
        <v>5.5590000000000002</v>
      </c>
      <c r="C22" s="1">
        <v>22</v>
      </c>
      <c r="D22" s="1">
        <v>102.22</v>
      </c>
      <c r="E22" s="1">
        <v>102.22</v>
      </c>
      <c r="F22" s="1">
        <v>-306.64999999999998</v>
      </c>
      <c r="G22">
        <v>6081</v>
      </c>
      <c r="H22">
        <v>6661</v>
      </c>
      <c r="I22">
        <v>6447</v>
      </c>
      <c r="J22" s="1">
        <v>1.2929999999999999</v>
      </c>
      <c r="K22" s="1">
        <v>1.2949999999999999</v>
      </c>
      <c r="L22" s="1">
        <v>1.2949999999999999</v>
      </c>
      <c r="M22" s="1">
        <v>34.15</v>
      </c>
      <c r="N22" s="1">
        <v>34</v>
      </c>
      <c r="O22" s="1">
        <v>34.07</v>
      </c>
      <c r="P22" s="1">
        <v>102.22</v>
      </c>
      <c r="Q22" s="1">
        <v>0</v>
      </c>
      <c r="R22" s="1">
        <v>32.9</v>
      </c>
      <c r="S22" s="1">
        <v>0.06</v>
      </c>
      <c r="T22" s="1">
        <v>0</v>
      </c>
      <c r="U22" s="1">
        <v>32.96</v>
      </c>
      <c r="V22" s="1">
        <v>32.9</v>
      </c>
    </row>
    <row r="23" spans="1:22" x14ac:dyDescent="0.3">
      <c r="A23">
        <v>21</v>
      </c>
      <c r="B23" s="1">
        <v>5.367</v>
      </c>
      <c r="C23" s="1">
        <v>22</v>
      </c>
      <c r="D23" s="1">
        <v>102.22</v>
      </c>
      <c r="E23" s="1">
        <v>102.22</v>
      </c>
      <c r="F23" s="1">
        <v>-204.43</v>
      </c>
      <c r="G23">
        <v>6073</v>
      </c>
      <c r="H23">
        <v>6675</v>
      </c>
      <c r="I23">
        <v>6447</v>
      </c>
      <c r="J23" s="1">
        <v>1.2929999999999999</v>
      </c>
      <c r="K23" s="1">
        <v>1.2949999999999999</v>
      </c>
      <c r="L23" s="1">
        <v>1.2949999999999999</v>
      </c>
      <c r="M23" s="1">
        <v>34.06</v>
      </c>
      <c r="N23" s="1">
        <v>34.090000000000003</v>
      </c>
      <c r="O23" s="1">
        <v>34.07</v>
      </c>
      <c r="P23" s="1">
        <v>102.22</v>
      </c>
      <c r="Q23" s="1">
        <v>0.01</v>
      </c>
      <c r="R23" s="1">
        <v>32.94</v>
      </c>
      <c r="S23" s="1">
        <v>0</v>
      </c>
      <c r="T23" s="1">
        <v>0</v>
      </c>
      <c r="U23" s="1">
        <v>32.950000000000003</v>
      </c>
      <c r="V23" s="1">
        <v>32.94</v>
      </c>
    </row>
    <row r="24" spans="1:22" x14ac:dyDescent="0.3">
      <c r="A24">
        <v>22</v>
      </c>
      <c r="B24" s="1">
        <v>5.2830000000000004</v>
      </c>
      <c r="C24" s="1">
        <v>22</v>
      </c>
      <c r="D24" s="1">
        <v>102.21</v>
      </c>
      <c r="E24" s="1">
        <v>102.22</v>
      </c>
      <c r="F24" s="1">
        <v>-102.2</v>
      </c>
      <c r="G24">
        <v>6063</v>
      </c>
      <c r="H24">
        <v>6713</v>
      </c>
      <c r="I24">
        <v>6429</v>
      </c>
      <c r="J24" s="1">
        <v>1.2929999999999999</v>
      </c>
      <c r="K24" s="1">
        <v>1.294</v>
      </c>
      <c r="L24" s="1">
        <v>1.2949999999999999</v>
      </c>
      <c r="M24" s="1">
        <v>33.950000000000003</v>
      </c>
      <c r="N24" s="1">
        <v>34.32</v>
      </c>
      <c r="O24" s="1">
        <v>33.96</v>
      </c>
      <c r="P24" s="1">
        <v>102.22</v>
      </c>
      <c r="Q24" s="1">
        <v>0.05</v>
      </c>
      <c r="R24" s="1">
        <v>33.01</v>
      </c>
      <c r="S24" s="1">
        <v>0.44</v>
      </c>
      <c r="T24" s="1">
        <v>0</v>
      </c>
      <c r="U24" s="1">
        <v>33.51</v>
      </c>
      <c r="V24" s="1">
        <v>33.01</v>
      </c>
    </row>
    <row r="25" spans="1:22" x14ac:dyDescent="0.3">
      <c r="A25">
        <v>23</v>
      </c>
      <c r="B25" s="1">
        <v>5.1630000000000003</v>
      </c>
      <c r="C25" s="1">
        <v>22</v>
      </c>
      <c r="D25" s="1">
        <v>102.2</v>
      </c>
      <c r="E25" s="1">
        <v>102.2</v>
      </c>
      <c r="F25" s="1">
        <v>0</v>
      </c>
      <c r="G25">
        <v>6083</v>
      </c>
      <c r="H25">
        <v>6660</v>
      </c>
      <c r="I25">
        <v>6441</v>
      </c>
      <c r="J25" s="1">
        <v>1.2929999999999999</v>
      </c>
      <c r="K25" s="1">
        <v>1.2949999999999999</v>
      </c>
      <c r="L25" s="1">
        <v>1.2949999999999999</v>
      </c>
      <c r="M25" s="1">
        <v>34.18</v>
      </c>
      <c r="N25" s="1">
        <v>33.99</v>
      </c>
      <c r="O25" s="1">
        <v>34.03</v>
      </c>
      <c r="P25" s="1">
        <v>102.2</v>
      </c>
      <c r="Q25" s="1">
        <v>0</v>
      </c>
      <c r="R25" s="1">
        <v>32.869999999999997</v>
      </c>
      <c r="S25" s="1">
        <v>0.1</v>
      </c>
      <c r="T25" s="1">
        <v>0</v>
      </c>
      <c r="U25" s="1">
        <v>32.97</v>
      </c>
      <c r="V25" s="1">
        <v>32.869999999999997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5EEA7-BA07-4758-BAAB-0A5842F0F680}">
  <dimension ref="A1:V25"/>
  <sheetViews>
    <sheetView zoomScale="55" zoomScaleNormal="55" workbookViewId="0">
      <selection activeCell="K28" sqref="K28"/>
    </sheetView>
  </sheetViews>
  <sheetFormatPr defaultRowHeight="14.4" x14ac:dyDescent="0.3"/>
  <cols>
    <col min="1" max="1" width="9.44140625" bestFit="1" customWidth="1"/>
    <col min="2" max="2" width="12.6640625" bestFit="1" customWidth="1"/>
    <col min="3" max="3" width="9.77734375" bestFit="1" customWidth="1"/>
    <col min="4" max="4" width="15.6640625" bestFit="1" customWidth="1"/>
    <col min="5" max="5" width="10.77734375" bestFit="1" customWidth="1"/>
    <col min="6" max="6" width="13" bestFit="1" customWidth="1"/>
    <col min="7" max="9" width="13.6640625" bestFit="1" customWidth="1"/>
    <col min="10" max="12" width="14.6640625" bestFit="1" customWidth="1"/>
    <col min="13" max="15" width="16.109375" bestFit="1" customWidth="1"/>
    <col min="16" max="16" width="15.21875" bestFit="1" customWidth="1"/>
    <col min="17" max="17" width="11.44140625" bestFit="1" customWidth="1"/>
    <col min="18" max="18" width="11" bestFit="1" customWidth="1"/>
    <col min="19" max="19" width="11.44140625" bestFit="1" customWidth="1"/>
    <col min="20" max="20" width="18.6640625" bestFit="1" customWidth="1"/>
    <col min="21" max="21" width="13.21875" bestFit="1" customWidth="1"/>
    <col min="22" max="22" width="18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0</v>
      </c>
      <c r="B2" s="1">
        <v>5.22</v>
      </c>
      <c r="C2" s="1">
        <v>22</v>
      </c>
      <c r="D2" s="1">
        <v>100</v>
      </c>
      <c r="E2" s="1">
        <v>68.42</v>
      </c>
      <c r="F2" s="1">
        <v>-2331.58</v>
      </c>
      <c r="G2">
        <v>5300</v>
      </c>
      <c r="H2">
        <v>5400</v>
      </c>
      <c r="I2">
        <v>5200</v>
      </c>
      <c r="J2" s="1">
        <v>1.27</v>
      </c>
      <c r="K2" s="1">
        <v>1.278</v>
      </c>
      <c r="L2" s="1">
        <v>1.2769999999999999</v>
      </c>
      <c r="M2" s="1">
        <v>24.14</v>
      </c>
      <c r="N2" s="1">
        <v>22.24</v>
      </c>
      <c r="O2" s="1">
        <v>22.04</v>
      </c>
      <c r="P2" s="1">
        <v>68.42</v>
      </c>
      <c r="Q2" s="1">
        <v>498631.44</v>
      </c>
      <c r="R2" s="1">
        <v>20.25</v>
      </c>
      <c r="S2" s="1">
        <v>13.42</v>
      </c>
      <c r="T2" s="1">
        <v>0</v>
      </c>
      <c r="U2" s="1">
        <v>498665.12</v>
      </c>
      <c r="V2" s="1">
        <v>20.25</v>
      </c>
    </row>
    <row r="3" spans="1:22" x14ac:dyDescent="0.3">
      <c r="A3">
        <v>1</v>
      </c>
      <c r="B3" s="1">
        <v>5.2149999999999999</v>
      </c>
      <c r="C3" s="1">
        <v>22</v>
      </c>
      <c r="D3" s="1">
        <v>101.37</v>
      </c>
      <c r="E3" s="1">
        <v>94.91</v>
      </c>
      <c r="F3" s="1">
        <v>-2236.67</v>
      </c>
      <c r="G3">
        <v>6050</v>
      </c>
      <c r="H3">
        <v>6200</v>
      </c>
      <c r="I3">
        <v>6000</v>
      </c>
      <c r="J3" s="1">
        <v>1.2929999999999999</v>
      </c>
      <c r="K3" s="1">
        <v>1.296</v>
      </c>
      <c r="L3" s="1">
        <v>1.296</v>
      </c>
      <c r="M3" s="1">
        <v>33.79</v>
      </c>
      <c r="N3" s="1">
        <v>30.51</v>
      </c>
      <c r="O3" s="1">
        <v>30.61</v>
      </c>
      <c r="P3" s="1">
        <v>94.91</v>
      </c>
      <c r="Q3" s="1">
        <v>20895.47</v>
      </c>
      <c r="R3" s="1">
        <v>28.22</v>
      </c>
      <c r="S3" s="1">
        <v>34.76</v>
      </c>
      <c r="T3" s="1">
        <v>0</v>
      </c>
      <c r="U3" s="1">
        <v>20958.45</v>
      </c>
      <c r="V3" s="1">
        <v>28.22</v>
      </c>
    </row>
    <row r="4" spans="1:22" x14ac:dyDescent="0.3">
      <c r="A4">
        <v>2</v>
      </c>
      <c r="B4" s="1">
        <v>5.306</v>
      </c>
      <c r="C4" s="1">
        <v>22</v>
      </c>
      <c r="D4" s="1">
        <v>101.67</v>
      </c>
      <c r="E4" s="1">
        <v>101.68</v>
      </c>
      <c r="F4" s="1">
        <v>-2134.9899999999998</v>
      </c>
      <c r="G4">
        <v>6128</v>
      </c>
      <c r="H4">
        <v>6549</v>
      </c>
      <c r="I4">
        <v>6397</v>
      </c>
      <c r="J4" s="1">
        <v>1.294</v>
      </c>
      <c r="K4" s="1">
        <v>1.296</v>
      </c>
      <c r="L4" s="1">
        <v>1.2949999999999999</v>
      </c>
      <c r="M4" s="1">
        <v>34.69</v>
      </c>
      <c r="N4" s="1">
        <v>33.25</v>
      </c>
      <c r="O4" s="1">
        <v>33.74</v>
      </c>
      <c r="P4" s="1">
        <v>101.68</v>
      </c>
      <c r="Q4" s="1">
        <v>0.14000000000000001</v>
      </c>
      <c r="R4" s="1">
        <v>32.229999999999997</v>
      </c>
      <c r="S4" s="1">
        <v>5.34</v>
      </c>
      <c r="T4" s="1">
        <v>0</v>
      </c>
      <c r="U4" s="1">
        <v>37.700000000000003</v>
      </c>
      <c r="V4" s="1">
        <v>32.229999999999997</v>
      </c>
    </row>
    <row r="5" spans="1:22" x14ac:dyDescent="0.3">
      <c r="A5">
        <v>3</v>
      </c>
      <c r="B5" s="1">
        <v>5.4370000000000003</v>
      </c>
      <c r="C5" s="1">
        <v>22</v>
      </c>
      <c r="D5" s="1">
        <v>101.67</v>
      </c>
      <c r="E5" s="1">
        <v>101.65</v>
      </c>
      <c r="F5" s="1">
        <v>-2033.34</v>
      </c>
      <c r="G5">
        <v>6014</v>
      </c>
      <c r="H5">
        <v>6726</v>
      </c>
      <c r="I5">
        <v>6418</v>
      </c>
      <c r="J5" s="1">
        <v>1.292</v>
      </c>
      <c r="K5" s="1">
        <v>1.294</v>
      </c>
      <c r="L5" s="1">
        <v>1.2949999999999999</v>
      </c>
      <c r="M5" s="1">
        <v>33.369999999999997</v>
      </c>
      <c r="N5" s="1">
        <v>34.39</v>
      </c>
      <c r="O5" s="1">
        <v>33.880000000000003</v>
      </c>
      <c r="P5" s="1">
        <v>101.65</v>
      </c>
      <c r="Q5" s="1">
        <v>0.13</v>
      </c>
      <c r="R5" s="1">
        <v>32.78</v>
      </c>
      <c r="S5" s="1">
        <v>2.61</v>
      </c>
      <c r="T5" s="1">
        <v>0</v>
      </c>
      <c r="U5" s="1">
        <v>35.520000000000003</v>
      </c>
      <c r="V5" s="1">
        <v>32.78</v>
      </c>
    </row>
    <row r="6" spans="1:22" x14ac:dyDescent="0.3">
      <c r="A6">
        <v>4</v>
      </c>
      <c r="B6" s="1">
        <v>5.4909999999999997</v>
      </c>
      <c r="C6" s="1">
        <v>22</v>
      </c>
      <c r="D6" s="1">
        <v>101.67</v>
      </c>
      <c r="E6" s="1">
        <v>101.54</v>
      </c>
      <c r="F6" s="1">
        <v>-1931.79</v>
      </c>
      <c r="G6">
        <v>5932</v>
      </c>
      <c r="H6">
        <v>6616</v>
      </c>
      <c r="I6">
        <v>6685</v>
      </c>
      <c r="J6" s="1">
        <v>1.2909999999999999</v>
      </c>
      <c r="K6" s="1">
        <v>1.2949999999999999</v>
      </c>
      <c r="L6" s="1">
        <v>1.292</v>
      </c>
      <c r="M6" s="1">
        <v>32.380000000000003</v>
      </c>
      <c r="N6" s="1">
        <v>33.700000000000003</v>
      </c>
      <c r="O6" s="1">
        <v>35.46</v>
      </c>
      <c r="P6" s="1">
        <v>101.54</v>
      </c>
      <c r="Q6" s="1">
        <v>7.6</v>
      </c>
      <c r="R6" s="1">
        <v>33.53</v>
      </c>
      <c r="S6" s="1">
        <v>23.86</v>
      </c>
      <c r="T6" s="1">
        <v>0</v>
      </c>
      <c r="U6" s="1">
        <v>64.989999999999995</v>
      </c>
      <c r="V6" s="1">
        <v>33.53</v>
      </c>
    </row>
    <row r="7" spans="1:22" x14ac:dyDescent="0.3">
      <c r="A7">
        <v>5</v>
      </c>
      <c r="B7" s="1">
        <v>5.6349999999999998</v>
      </c>
      <c r="C7" s="1">
        <v>22</v>
      </c>
      <c r="D7" s="1">
        <v>101.67</v>
      </c>
      <c r="E7" s="1">
        <v>101.59</v>
      </c>
      <c r="F7" s="1">
        <v>-1830.2</v>
      </c>
      <c r="G7">
        <v>5991</v>
      </c>
      <c r="H7">
        <v>7019</v>
      </c>
      <c r="I7">
        <v>6233</v>
      </c>
      <c r="J7" s="1">
        <v>1.292</v>
      </c>
      <c r="K7" s="1">
        <v>1.29</v>
      </c>
      <c r="L7" s="1">
        <v>1.296</v>
      </c>
      <c r="M7" s="1">
        <v>33.090000000000003</v>
      </c>
      <c r="N7" s="1">
        <v>35.94</v>
      </c>
      <c r="O7" s="1">
        <v>32.56</v>
      </c>
      <c r="P7" s="1">
        <v>101.59</v>
      </c>
      <c r="Q7" s="1">
        <v>3.43</v>
      </c>
      <c r="R7" s="1">
        <v>33.72</v>
      </c>
      <c r="S7" s="1">
        <v>33.049999999999997</v>
      </c>
      <c r="T7" s="1">
        <v>0</v>
      </c>
      <c r="U7" s="1">
        <v>70.2</v>
      </c>
      <c r="V7" s="1">
        <v>33.72</v>
      </c>
    </row>
    <row r="8" spans="1:22" x14ac:dyDescent="0.3">
      <c r="A8">
        <v>6</v>
      </c>
      <c r="B8" s="1">
        <v>5.8630000000000004</v>
      </c>
      <c r="C8" s="1">
        <v>22</v>
      </c>
      <c r="D8" s="1">
        <v>101.68</v>
      </c>
      <c r="E8" s="1">
        <v>101.6</v>
      </c>
      <c r="F8" s="1">
        <v>-1728.6</v>
      </c>
      <c r="G8">
        <v>5902</v>
      </c>
      <c r="H8">
        <v>6707</v>
      </c>
      <c r="I8">
        <v>6657</v>
      </c>
      <c r="J8" s="1">
        <v>1.29</v>
      </c>
      <c r="K8" s="1">
        <v>1.294</v>
      </c>
      <c r="L8" s="1">
        <v>1.292</v>
      </c>
      <c r="M8" s="1">
        <v>32.01</v>
      </c>
      <c r="N8" s="1">
        <v>34.28</v>
      </c>
      <c r="O8" s="1">
        <v>35.31</v>
      </c>
      <c r="P8" s="1">
        <v>101.6</v>
      </c>
      <c r="Q8" s="1">
        <v>2.74</v>
      </c>
      <c r="R8" s="1">
        <v>33.72</v>
      </c>
      <c r="S8" s="1">
        <v>28.57</v>
      </c>
      <c r="T8" s="1">
        <v>0</v>
      </c>
      <c r="U8" s="1">
        <v>65.03</v>
      </c>
      <c r="V8" s="1">
        <v>33.72</v>
      </c>
    </row>
    <row r="9" spans="1:22" x14ac:dyDescent="0.3">
      <c r="A9">
        <v>7</v>
      </c>
      <c r="B9" s="1">
        <v>5.9859999999999998</v>
      </c>
      <c r="C9" s="1">
        <v>22</v>
      </c>
      <c r="D9" s="1">
        <v>101.68</v>
      </c>
      <c r="E9" s="1">
        <v>101.62</v>
      </c>
      <c r="F9" s="1">
        <v>-1626.98</v>
      </c>
      <c r="G9">
        <v>6020</v>
      </c>
      <c r="H9">
        <v>6525</v>
      </c>
      <c r="I9">
        <v>6617</v>
      </c>
      <c r="J9" s="1">
        <v>1.292</v>
      </c>
      <c r="K9" s="1">
        <v>1.296</v>
      </c>
      <c r="L9" s="1">
        <v>1.2929999999999999</v>
      </c>
      <c r="M9" s="1">
        <v>33.44</v>
      </c>
      <c r="N9" s="1">
        <v>33.090000000000003</v>
      </c>
      <c r="O9" s="1">
        <v>35.090000000000003</v>
      </c>
      <c r="P9" s="1">
        <v>101.62</v>
      </c>
      <c r="Q9" s="1">
        <v>1.9</v>
      </c>
      <c r="R9" s="1">
        <v>32.96</v>
      </c>
      <c r="S9" s="1">
        <v>11.46</v>
      </c>
      <c r="T9" s="1">
        <v>0</v>
      </c>
      <c r="U9" s="1">
        <v>46.32</v>
      </c>
      <c r="V9" s="1">
        <v>32.96</v>
      </c>
    </row>
    <row r="10" spans="1:22" x14ac:dyDescent="0.3">
      <c r="A10">
        <v>8</v>
      </c>
      <c r="B10" s="1">
        <v>6.0810000000000004</v>
      </c>
      <c r="C10" s="1">
        <v>22</v>
      </c>
      <c r="D10" s="1">
        <v>101.69</v>
      </c>
      <c r="E10" s="1">
        <v>101.71</v>
      </c>
      <c r="F10" s="1">
        <v>-1525.27</v>
      </c>
      <c r="G10">
        <v>5988</v>
      </c>
      <c r="H10">
        <v>6772</v>
      </c>
      <c r="I10">
        <v>6435</v>
      </c>
      <c r="J10" s="1">
        <v>1.292</v>
      </c>
      <c r="K10" s="1">
        <v>1.294</v>
      </c>
      <c r="L10" s="1">
        <v>1.2949999999999999</v>
      </c>
      <c r="M10" s="1">
        <v>33.049999999999997</v>
      </c>
      <c r="N10" s="1">
        <v>34.67</v>
      </c>
      <c r="O10" s="1">
        <v>33.99</v>
      </c>
      <c r="P10" s="1">
        <v>101.71</v>
      </c>
      <c r="Q10" s="1">
        <v>0.27</v>
      </c>
      <c r="R10" s="1">
        <v>33.04</v>
      </c>
      <c r="S10" s="1">
        <v>6.6</v>
      </c>
      <c r="T10" s="1">
        <v>0</v>
      </c>
      <c r="U10" s="1">
        <v>39.909999999999997</v>
      </c>
      <c r="V10" s="1">
        <v>33.04</v>
      </c>
    </row>
    <row r="11" spans="1:22" x14ac:dyDescent="0.3">
      <c r="A11">
        <v>9</v>
      </c>
      <c r="B11" s="1">
        <v>6.2460000000000004</v>
      </c>
      <c r="C11" s="1">
        <v>22</v>
      </c>
      <c r="D11" s="1">
        <v>101.68</v>
      </c>
      <c r="E11" s="1">
        <v>101.59</v>
      </c>
      <c r="F11" s="1">
        <v>-1423.68</v>
      </c>
      <c r="G11">
        <v>6092</v>
      </c>
      <c r="H11">
        <v>6514</v>
      </c>
      <c r="I11">
        <v>6481</v>
      </c>
      <c r="J11" s="1">
        <v>1.294</v>
      </c>
      <c r="K11" s="1">
        <v>1.296</v>
      </c>
      <c r="L11" s="1">
        <v>1.294</v>
      </c>
      <c r="M11" s="1">
        <v>34.29</v>
      </c>
      <c r="N11" s="1">
        <v>33.01</v>
      </c>
      <c r="O11" s="1">
        <v>34.29</v>
      </c>
      <c r="P11" s="1">
        <v>101.59</v>
      </c>
      <c r="Q11" s="1">
        <v>4.6100000000000003</v>
      </c>
      <c r="R11" s="1">
        <v>32.369999999999997</v>
      </c>
      <c r="S11" s="1">
        <v>5.46</v>
      </c>
      <c r="T11" s="1">
        <v>0</v>
      </c>
      <c r="U11" s="1">
        <v>42.43</v>
      </c>
      <c r="V11" s="1">
        <v>32.369999999999997</v>
      </c>
    </row>
    <row r="12" spans="1:22" x14ac:dyDescent="0.3">
      <c r="A12">
        <v>10</v>
      </c>
      <c r="B12" s="1">
        <v>6.3010000000000002</v>
      </c>
      <c r="C12" s="1">
        <v>22</v>
      </c>
      <c r="D12" s="1">
        <v>101.69</v>
      </c>
      <c r="E12" s="1">
        <v>101.79</v>
      </c>
      <c r="F12" s="1">
        <v>-1321.89</v>
      </c>
      <c r="G12">
        <v>6040</v>
      </c>
      <c r="H12">
        <v>6497</v>
      </c>
      <c r="I12">
        <v>6642</v>
      </c>
      <c r="J12" s="1">
        <v>1.2929999999999999</v>
      </c>
      <c r="K12" s="1">
        <v>1.296</v>
      </c>
      <c r="L12" s="1">
        <v>1.2929999999999999</v>
      </c>
      <c r="M12" s="1">
        <v>33.67</v>
      </c>
      <c r="N12" s="1">
        <v>32.89</v>
      </c>
      <c r="O12" s="1">
        <v>35.229999999999997</v>
      </c>
      <c r="P12" s="1">
        <v>101.79</v>
      </c>
      <c r="Q12" s="1">
        <v>5.36</v>
      </c>
      <c r="R12" s="1">
        <v>33.1</v>
      </c>
      <c r="S12" s="1">
        <v>14.26</v>
      </c>
      <c r="T12" s="1">
        <v>0</v>
      </c>
      <c r="U12" s="1">
        <v>52.72</v>
      </c>
      <c r="V12" s="1">
        <v>33.1</v>
      </c>
    </row>
    <row r="13" spans="1:22" x14ac:dyDescent="0.3">
      <c r="A13">
        <v>11</v>
      </c>
      <c r="B13" s="1">
        <v>6.3609999999999998</v>
      </c>
      <c r="C13" s="1">
        <v>22</v>
      </c>
      <c r="D13" s="1">
        <v>101.68</v>
      </c>
      <c r="E13" s="1">
        <v>101.74</v>
      </c>
      <c r="F13" s="1">
        <v>-1220.1400000000001</v>
      </c>
      <c r="G13">
        <v>6112</v>
      </c>
      <c r="H13">
        <v>6659</v>
      </c>
      <c r="I13">
        <v>6327</v>
      </c>
      <c r="J13" s="1">
        <v>1.294</v>
      </c>
      <c r="K13" s="1">
        <v>1.2949999999999999</v>
      </c>
      <c r="L13" s="1">
        <v>1.296</v>
      </c>
      <c r="M13" s="1">
        <v>34.51</v>
      </c>
      <c r="N13" s="1">
        <v>33.979999999999997</v>
      </c>
      <c r="O13" s="1">
        <v>33.25</v>
      </c>
      <c r="P13" s="1">
        <v>101.74</v>
      </c>
      <c r="Q13" s="1">
        <v>1.83</v>
      </c>
      <c r="R13" s="1">
        <v>32.36</v>
      </c>
      <c r="S13" s="1">
        <v>3.97</v>
      </c>
      <c r="T13" s="1">
        <v>0</v>
      </c>
      <c r="U13" s="1">
        <v>38.159999999999997</v>
      </c>
      <c r="V13" s="1">
        <v>32.36</v>
      </c>
    </row>
    <row r="14" spans="1:22" x14ac:dyDescent="0.3">
      <c r="A14">
        <v>12</v>
      </c>
      <c r="B14" s="1">
        <v>6.41</v>
      </c>
      <c r="C14" s="1">
        <v>22</v>
      </c>
      <c r="D14" s="1">
        <v>101.68</v>
      </c>
      <c r="E14" s="1">
        <v>101.52</v>
      </c>
      <c r="F14" s="1">
        <v>-1118.6300000000001</v>
      </c>
      <c r="G14">
        <v>5901</v>
      </c>
      <c r="H14">
        <v>6684</v>
      </c>
      <c r="I14">
        <v>6670</v>
      </c>
      <c r="J14" s="1">
        <v>1.29</v>
      </c>
      <c r="K14" s="1">
        <v>1.2949999999999999</v>
      </c>
      <c r="L14" s="1">
        <v>1.292</v>
      </c>
      <c r="M14" s="1">
        <v>31.99</v>
      </c>
      <c r="N14" s="1">
        <v>34.14</v>
      </c>
      <c r="O14" s="1">
        <v>35.380000000000003</v>
      </c>
      <c r="P14" s="1">
        <v>101.52</v>
      </c>
      <c r="Q14" s="1">
        <v>13.13</v>
      </c>
      <c r="R14" s="1">
        <v>33.68</v>
      </c>
      <c r="S14" s="1">
        <v>29.41</v>
      </c>
      <c r="T14" s="1">
        <v>0</v>
      </c>
      <c r="U14" s="1">
        <v>76.209999999999994</v>
      </c>
      <c r="V14" s="1">
        <v>33.68</v>
      </c>
    </row>
    <row r="15" spans="1:22" x14ac:dyDescent="0.3">
      <c r="A15">
        <v>13</v>
      </c>
      <c r="B15" s="1">
        <v>6.3029999999999999</v>
      </c>
      <c r="C15" s="1">
        <v>22</v>
      </c>
      <c r="D15" s="1">
        <v>101.69</v>
      </c>
      <c r="E15" s="1">
        <v>101.79</v>
      </c>
      <c r="F15" s="1">
        <v>-1016.83</v>
      </c>
      <c r="G15">
        <v>5939</v>
      </c>
      <c r="H15">
        <v>6965</v>
      </c>
      <c r="I15">
        <v>6384</v>
      </c>
      <c r="J15" s="1">
        <v>1.2909999999999999</v>
      </c>
      <c r="K15" s="1">
        <v>1.2909999999999999</v>
      </c>
      <c r="L15" s="1">
        <v>1.2949999999999999</v>
      </c>
      <c r="M15" s="1">
        <v>32.46</v>
      </c>
      <c r="N15" s="1">
        <v>35.68</v>
      </c>
      <c r="O15" s="1">
        <v>33.65</v>
      </c>
      <c r="P15" s="1">
        <v>101.79</v>
      </c>
      <c r="Q15" s="1">
        <v>5.01</v>
      </c>
      <c r="R15" s="1">
        <v>33.86</v>
      </c>
      <c r="S15" s="1">
        <v>26.61</v>
      </c>
      <c r="T15" s="1">
        <v>0</v>
      </c>
      <c r="U15" s="1">
        <v>65.48</v>
      </c>
      <c r="V15" s="1">
        <v>33.86</v>
      </c>
    </row>
    <row r="16" spans="1:22" x14ac:dyDescent="0.3">
      <c r="A16">
        <v>14</v>
      </c>
      <c r="B16" s="1">
        <v>6.2510000000000003</v>
      </c>
      <c r="C16" s="1">
        <v>22</v>
      </c>
      <c r="D16" s="1">
        <v>101.68</v>
      </c>
      <c r="E16" s="1">
        <v>101.84</v>
      </c>
      <c r="F16" s="1">
        <v>-914.99</v>
      </c>
      <c r="G16">
        <v>6065</v>
      </c>
      <c r="H16">
        <v>6815</v>
      </c>
      <c r="I16">
        <v>6288</v>
      </c>
      <c r="J16" s="1">
        <v>1.2929999999999999</v>
      </c>
      <c r="K16" s="1">
        <v>1.2929999999999999</v>
      </c>
      <c r="L16" s="1">
        <v>1.296</v>
      </c>
      <c r="M16" s="1">
        <v>33.97</v>
      </c>
      <c r="N16" s="1">
        <v>34.909999999999997</v>
      </c>
      <c r="O16" s="1">
        <v>32.97</v>
      </c>
      <c r="P16" s="1">
        <v>101.84</v>
      </c>
      <c r="Q16" s="1">
        <v>12.66</v>
      </c>
      <c r="R16" s="1">
        <v>32.869999999999997</v>
      </c>
      <c r="S16" s="1">
        <v>9.3800000000000008</v>
      </c>
      <c r="T16" s="1">
        <v>0</v>
      </c>
      <c r="U16" s="1">
        <v>54.91</v>
      </c>
      <c r="V16" s="1">
        <v>32.869999999999997</v>
      </c>
    </row>
    <row r="17" spans="1:22" x14ac:dyDescent="0.3">
      <c r="A17">
        <v>15</v>
      </c>
      <c r="B17" s="1">
        <v>6.202</v>
      </c>
      <c r="C17" s="1">
        <v>22</v>
      </c>
      <c r="D17" s="1">
        <v>101.67</v>
      </c>
      <c r="E17" s="1">
        <v>101.79</v>
      </c>
      <c r="F17" s="1">
        <v>-813.2</v>
      </c>
      <c r="G17">
        <v>6101</v>
      </c>
      <c r="H17">
        <v>6520</v>
      </c>
      <c r="I17">
        <v>6491</v>
      </c>
      <c r="J17" s="1">
        <v>1.294</v>
      </c>
      <c r="K17" s="1">
        <v>1.296</v>
      </c>
      <c r="L17" s="1">
        <v>1.294</v>
      </c>
      <c r="M17" s="1">
        <v>34.380000000000003</v>
      </c>
      <c r="N17" s="1">
        <v>33.049999999999997</v>
      </c>
      <c r="O17" s="1">
        <v>34.35</v>
      </c>
      <c r="P17" s="1">
        <v>101.79</v>
      </c>
      <c r="Q17" s="1">
        <v>7.22</v>
      </c>
      <c r="R17" s="1">
        <v>32.51</v>
      </c>
      <c r="S17" s="1">
        <v>5.78</v>
      </c>
      <c r="T17" s="1">
        <v>0</v>
      </c>
      <c r="U17" s="1">
        <v>45.51</v>
      </c>
      <c r="V17" s="1">
        <v>32.51</v>
      </c>
    </row>
    <row r="18" spans="1:22" x14ac:dyDescent="0.3">
      <c r="A18">
        <v>16</v>
      </c>
      <c r="B18" s="1">
        <v>6.0590000000000002</v>
      </c>
      <c r="C18" s="1">
        <v>22</v>
      </c>
      <c r="D18" s="1">
        <v>101.65</v>
      </c>
      <c r="E18" s="1">
        <v>101.65</v>
      </c>
      <c r="F18" s="1">
        <v>-711.56</v>
      </c>
      <c r="G18">
        <v>6005</v>
      </c>
      <c r="H18">
        <v>6641</v>
      </c>
      <c r="I18">
        <v>6518</v>
      </c>
      <c r="J18" s="1">
        <v>1.292</v>
      </c>
      <c r="K18" s="1">
        <v>1.2949999999999999</v>
      </c>
      <c r="L18" s="1">
        <v>1.294</v>
      </c>
      <c r="M18" s="1">
        <v>33.25</v>
      </c>
      <c r="N18" s="1">
        <v>33.869999999999997</v>
      </c>
      <c r="O18" s="1">
        <v>34.520000000000003</v>
      </c>
      <c r="P18" s="1">
        <v>101.65</v>
      </c>
      <c r="Q18" s="1">
        <v>0.01</v>
      </c>
      <c r="R18" s="1">
        <v>32.85</v>
      </c>
      <c r="S18" s="1">
        <v>4.0199999999999996</v>
      </c>
      <c r="T18" s="1">
        <v>0</v>
      </c>
      <c r="U18" s="1">
        <v>36.880000000000003</v>
      </c>
      <c r="V18" s="1">
        <v>32.85</v>
      </c>
    </row>
    <row r="19" spans="1:22" x14ac:dyDescent="0.3">
      <c r="A19">
        <v>17</v>
      </c>
      <c r="B19" s="1">
        <v>5.968</v>
      </c>
      <c r="C19" s="1">
        <v>22</v>
      </c>
      <c r="D19" s="1">
        <v>101.65</v>
      </c>
      <c r="E19" s="1">
        <v>101.74</v>
      </c>
      <c r="F19" s="1">
        <v>-609.82000000000005</v>
      </c>
      <c r="G19">
        <v>6027</v>
      </c>
      <c r="H19">
        <v>6743</v>
      </c>
      <c r="I19">
        <v>6394</v>
      </c>
      <c r="J19" s="1">
        <v>1.2929999999999999</v>
      </c>
      <c r="K19" s="1">
        <v>1.294</v>
      </c>
      <c r="L19" s="1">
        <v>1.2949999999999999</v>
      </c>
      <c r="M19" s="1">
        <v>33.520000000000003</v>
      </c>
      <c r="N19" s="1">
        <v>34.49</v>
      </c>
      <c r="O19" s="1">
        <v>33.72</v>
      </c>
      <c r="P19" s="1">
        <v>101.74</v>
      </c>
      <c r="Q19" s="1">
        <v>4.08</v>
      </c>
      <c r="R19" s="1">
        <v>32.81</v>
      </c>
      <c r="S19" s="1">
        <v>2.63</v>
      </c>
      <c r="T19" s="1">
        <v>0</v>
      </c>
      <c r="U19" s="1">
        <v>39.51</v>
      </c>
      <c r="V19" s="1">
        <v>32.81</v>
      </c>
    </row>
    <row r="20" spans="1:22" x14ac:dyDescent="0.3">
      <c r="A20">
        <v>18</v>
      </c>
      <c r="B20" s="1">
        <v>5.7640000000000002</v>
      </c>
      <c r="C20" s="1">
        <v>22</v>
      </c>
      <c r="D20" s="1">
        <v>101.64</v>
      </c>
      <c r="E20" s="1">
        <v>101.7</v>
      </c>
      <c r="F20" s="1">
        <v>-508.12</v>
      </c>
      <c r="G20">
        <v>6166</v>
      </c>
      <c r="H20">
        <v>6487</v>
      </c>
      <c r="I20">
        <v>6400</v>
      </c>
      <c r="J20" s="1">
        <v>1.294</v>
      </c>
      <c r="K20" s="1">
        <v>1.296</v>
      </c>
      <c r="L20" s="1">
        <v>1.2949999999999999</v>
      </c>
      <c r="M20" s="1">
        <v>35.119999999999997</v>
      </c>
      <c r="N20" s="1">
        <v>32.82</v>
      </c>
      <c r="O20" s="1">
        <v>33.76</v>
      </c>
      <c r="P20" s="1">
        <v>101.7</v>
      </c>
      <c r="Q20" s="1">
        <v>2.0099999999999998</v>
      </c>
      <c r="R20" s="1">
        <v>32.14</v>
      </c>
      <c r="S20" s="1">
        <v>13.45</v>
      </c>
      <c r="T20" s="1">
        <v>0</v>
      </c>
      <c r="U20" s="1">
        <v>47.6</v>
      </c>
      <c r="V20" s="1">
        <v>32.14</v>
      </c>
    </row>
    <row r="21" spans="1:22" x14ac:dyDescent="0.3">
      <c r="A21">
        <v>19</v>
      </c>
      <c r="B21" s="1">
        <v>5.5880000000000001</v>
      </c>
      <c r="C21" s="1">
        <v>22</v>
      </c>
      <c r="D21" s="1">
        <v>101.62</v>
      </c>
      <c r="E21" s="1">
        <v>101.59</v>
      </c>
      <c r="F21" s="1">
        <v>-406.53</v>
      </c>
      <c r="G21">
        <v>6071</v>
      </c>
      <c r="H21">
        <v>6673</v>
      </c>
      <c r="I21">
        <v>6358</v>
      </c>
      <c r="J21" s="1">
        <v>1.2929999999999999</v>
      </c>
      <c r="K21" s="1">
        <v>1.2949999999999999</v>
      </c>
      <c r="L21" s="1">
        <v>1.2949999999999999</v>
      </c>
      <c r="M21" s="1">
        <v>34.04</v>
      </c>
      <c r="N21" s="1">
        <v>34.07</v>
      </c>
      <c r="O21" s="1">
        <v>33.479999999999997</v>
      </c>
      <c r="P21" s="1">
        <v>101.59</v>
      </c>
      <c r="Q21" s="1">
        <v>0.62</v>
      </c>
      <c r="R21" s="1">
        <v>32.4</v>
      </c>
      <c r="S21" s="1">
        <v>1.1200000000000001</v>
      </c>
      <c r="T21" s="1">
        <v>0</v>
      </c>
      <c r="U21" s="1">
        <v>34.14</v>
      </c>
      <c r="V21" s="1">
        <v>32.4</v>
      </c>
    </row>
    <row r="22" spans="1:22" x14ac:dyDescent="0.3">
      <c r="A22">
        <v>20</v>
      </c>
      <c r="B22" s="1">
        <v>5.5590000000000002</v>
      </c>
      <c r="C22" s="1">
        <v>22</v>
      </c>
      <c r="D22" s="1">
        <v>101.63</v>
      </c>
      <c r="E22" s="1">
        <v>101.72</v>
      </c>
      <c r="F22" s="1">
        <v>-304.81</v>
      </c>
      <c r="G22">
        <v>6057</v>
      </c>
      <c r="H22">
        <v>6591</v>
      </c>
      <c r="I22">
        <v>6484</v>
      </c>
      <c r="J22" s="1">
        <v>1.2929999999999999</v>
      </c>
      <c r="K22" s="1">
        <v>1.2949999999999999</v>
      </c>
      <c r="L22" s="1">
        <v>1.294</v>
      </c>
      <c r="M22" s="1">
        <v>33.869999999999997</v>
      </c>
      <c r="N22" s="1">
        <v>33.54</v>
      </c>
      <c r="O22" s="1">
        <v>34.31</v>
      </c>
      <c r="P22" s="1">
        <v>101.72</v>
      </c>
      <c r="Q22" s="1">
        <v>4.07</v>
      </c>
      <c r="R22" s="1">
        <v>32.61</v>
      </c>
      <c r="S22" s="1">
        <v>1.49</v>
      </c>
      <c r="T22" s="1">
        <v>0</v>
      </c>
      <c r="U22" s="1">
        <v>38.18</v>
      </c>
      <c r="V22" s="1">
        <v>32.61</v>
      </c>
    </row>
    <row r="23" spans="1:22" x14ac:dyDescent="0.3">
      <c r="A23">
        <v>21</v>
      </c>
      <c r="B23" s="1">
        <v>5.367</v>
      </c>
      <c r="C23" s="1">
        <v>22</v>
      </c>
      <c r="D23" s="1">
        <v>101.6</v>
      </c>
      <c r="E23" s="1">
        <v>101.61</v>
      </c>
      <c r="F23" s="1">
        <v>-203.19</v>
      </c>
      <c r="G23">
        <v>6062</v>
      </c>
      <c r="H23">
        <v>6796</v>
      </c>
      <c r="I23">
        <v>6275</v>
      </c>
      <c r="J23" s="1">
        <v>1.2929999999999999</v>
      </c>
      <c r="K23" s="1">
        <v>1.294</v>
      </c>
      <c r="L23" s="1">
        <v>1.296</v>
      </c>
      <c r="M23" s="1">
        <v>33.94</v>
      </c>
      <c r="N23" s="1">
        <v>34.799999999999997</v>
      </c>
      <c r="O23" s="1">
        <v>32.869999999999997</v>
      </c>
      <c r="P23" s="1">
        <v>101.61</v>
      </c>
      <c r="Q23" s="1">
        <v>7.0000000000000007E-2</v>
      </c>
      <c r="R23" s="1">
        <v>32.67</v>
      </c>
      <c r="S23" s="1">
        <v>9.33</v>
      </c>
      <c r="T23" s="1">
        <v>0</v>
      </c>
      <c r="U23" s="1">
        <v>42.07</v>
      </c>
      <c r="V23" s="1">
        <v>32.67</v>
      </c>
    </row>
    <row r="24" spans="1:22" x14ac:dyDescent="0.3">
      <c r="A24">
        <v>22</v>
      </c>
      <c r="B24" s="1">
        <v>5.2830000000000004</v>
      </c>
      <c r="C24" s="1">
        <v>22</v>
      </c>
      <c r="D24" s="1">
        <v>101.6</v>
      </c>
      <c r="E24" s="1">
        <v>101.47</v>
      </c>
      <c r="F24" s="1">
        <v>-101.72</v>
      </c>
      <c r="G24">
        <v>6091</v>
      </c>
      <c r="H24">
        <v>6687</v>
      </c>
      <c r="I24">
        <v>6298</v>
      </c>
      <c r="J24" s="1">
        <v>1.294</v>
      </c>
      <c r="K24" s="1">
        <v>1.2949999999999999</v>
      </c>
      <c r="L24" s="1">
        <v>1.296</v>
      </c>
      <c r="M24" s="1">
        <v>34.270000000000003</v>
      </c>
      <c r="N24" s="1">
        <v>34.159999999999997</v>
      </c>
      <c r="O24" s="1">
        <v>33.049999999999997</v>
      </c>
      <c r="P24" s="1">
        <v>101.47</v>
      </c>
      <c r="Q24" s="1">
        <v>7.67</v>
      </c>
      <c r="R24" s="1">
        <v>32.26</v>
      </c>
      <c r="S24" s="1">
        <v>4.58</v>
      </c>
      <c r="T24" s="1">
        <v>0</v>
      </c>
      <c r="U24" s="1">
        <v>44.5</v>
      </c>
      <c r="V24" s="1">
        <v>32.26</v>
      </c>
    </row>
    <row r="25" spans="1:22" x14ac:dyDescent="0.3">
      <c r="A25">
        <v>23</v>
      </c>
      <c r="B25" s="1">
        <v>5.1630000000000003</v>
      </c>
      <c r="C25" s="1">
        <v>22</v>
      </c>
      <c r="D25" s="1">
        <v>101.72</v>
      </c>
      <c r="E25" s="1">
        <v>101.73</v>
      </c>
      <c r="F25" s="1">
        <v>0.01</v>
      </c>
      <c r="G25">
        <v>5999</v>
      </c>
      <c r="H25">
        <v>6649</v>
      </c>
      <c r="I25">
        <v>6535</v>
      </c>
      <c r="J25" s="1">
        <v>1.292</v>
      </c>
      <c r="K25" s="1">
        <v>1.2949999999999999</v>
      </c>
      <c r="L25" s="1">
        <v>1.294</v>
      </c>
      <c r="M25" s="1">
        <v>33.18</v>
      </c>
      <c r="N25" s="1">
        <v>33.92</v>
      </c>
      <c r="O25" s="1">
        <v>34.619999999999997</v>
      </c>
      <c r="P25" s="1">
        <v>101.73</v>
      </c>
      <c r="Q25" s="1">
        <v>0.03</v>
      </c>
      <c r="R25" s="1">
        <v>32.979999999999997</v>
      </c>
      <c r="S25" s="1">
        <v>5.17</v>
      </c>
      <c r="T25" s="1">
        <v>0</v>
      </c>
      <c r="U25" s="1">
        <v>38.18</v>
      </c>
      <c r="V25" s="1">
        <v>32.979999999999997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D5C0F-D56A-48EF-959C-65745D23BC6E}">
  <dimension ref="A1:A24"/>
  <sheetViews>
    <sheetView tabSelected="1" topLeftCell="B1" zoomScale="70" zoomScaleNormal="70" workbookViewId="0">
      <selection activeCell="M38" sqref="M38"/>
    </sheetView>
  </sheetViews>
  <sheetFormatPr defaultRowHeight="14.4" x14ac:dyDescent="0.3"/>
  <sheetData>
    <row r="1" spans="1:1" x14ac:dyDescent="0.3">
      <c r="A1" s="2">
        <v>0</v>
      </c>
    </row>
    <row r="2" spans="1:1" x14ac:dyDescent="0.3">
      <c r="A2" s="2">
        <v>1</v>
      </c>
    </row>
    <row r="3" spans="1:1" x14ac:dyDescent="0.3">
      <c r="A3" s="2">
        <v>2</v>
      </c>
    </row>
    <row r="4" spans="1:1" x14ac:dyDescent="0.3">
      <c r="A4" s="2">
        <v>3</v>
      </c>
    </row>
    <row r="5" spans="1:1" x14ac:dyDescent="0.3">
      <c r="A5" s="2">
        <v>4</v>
      </c>
    </row>
    <row r="6" spans="1:1" x14ac:dyDescent="0.3">
      <c r="A6" s="2">
        <v>5</v>
      </c>
    </row>
    <row r="7" spans="1:1" x14ac:dyDescent="0.3">
      <c r="A7" s="2">
        <v>6</v>
      </c>
    </row>
    <row r="8" spans="1:1" x14ac:dyDescent="0.3">
      <c r="A8" s="2">
        <v>7</v>
      </c>
    </row>
    <row r="9" spans="1:1" x14ac:dyDescent="0.3">
      <c r="A9" s="2">
        <v>8</v>
      </c>
    </row>
    <row r="10" spans="1:1" x14ac:dyDescent="0.3">
      <c r="A10" s="2">
        <v>9</v>
      </c>
    </row>
    <row r="11" spans="1:1" x14ac:dyDescent="0.3">
      <c r="A11" s="2">
        <v>10</v>
      </c>
    </row>
    <row r="12" spans="1:1" x14ac:dyDescent="0.3">
      <c r="A12" s="2">
        <v>11</v>
      </c>
    </row>
    <row r="13" spans="1:1" x14ac:dyDescent="0.3">
      <c r="A13" s="2">
        <v>12</v>
      </c>
    </row>
    <row r="14" spans="1:1" x14ac:dyDescent="0.3">
      <c r="A14" s="2">
        <v>13</v>
      </c>
    </row>
    <row r="15" spans="1:1" x14ac:dyDescent="0.3">
      <c r="A15" s="2">
        <v>14</v>
      </c>
    </row>
    <row r="16" spans="1:1" x14ac:dyDescent="0.3">
      <c r="A16" s="2">
        <v>15</v>
      </c>
    </row>
    <row r="17" spans="1:1" x14ac:dyDescent="0.3">
      <c r="A17" s="2">
        <v>16</v>
      </c>
    </row>
    <row r="18" spans="1:1" x14ac:dyDescent="0.3">
      <c r="A18" s="2">
        <v>17</v>
      </c>
    </row>
    <row r="19" spans="1:1" x14ac:dyDescent="0.3">
      <c r="A19" s="2">
        <v>18</v>
      </c>
    </row>
    <row r="20" spans="1:1" x14ac:dyDescent="0.3">
      <c r="A20" s="2">
        <v>19</v>
      </c>
    </row>
    <row r="21" spans="1:1" x14ac:dyDescent="0.3">
      <c r="A21" s="2">
        <v>20</v>
      </c>
    </row>
    <row r="22" spans="1:1" x14ac:dyDescent="0.3">
      <c r="A22" s="2">
        <v>21</v>
      </c>
    </row>
    <row r="23" spans="1:1" x14ac:dyDescent="0.3">
      <c r="A23" s="2">
        <v>22</v>
      </c>
    </row>
    <row r="24" spans="1:1" x14ac:dyDescent="0.3">
      <c r="A24" s="2">
        <v>23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7F3637-889F-4B21-A74D-F4C79264A1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simulation_results_PID_2400</vt:lpstr>
      <vt:lpstr>simulation_results_PSO_2400</vt:lpstr>
      <vt:lpstr>simulation_results_GWO_2400</vt:lpstr>
      <vt:lpstr>Сравнение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contrapost</dc:creator>
  <cp:lastModifiedBy>contrapost</cp:lastModifiedBy>
  <dcterms:created xsi:type="dcterms:W3CDTF">2026-05-17T12:53:11Z</dcterms:created>
  <dcterms:modified xsi:type="dcterms:W3CDTF">2026-05-19T19:09:28Z</dcterms:modified>
</cp:coreProperties>
</file>